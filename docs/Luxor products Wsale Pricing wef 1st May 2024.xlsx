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er\Documents\CENTROPEN STATIONERS LTD\CENTROPEN STATIONERS IMPORTATION ENQUIRIES AND PRICING\Luxor International\"/>
    </mc:Choice>
  </mc:AlternateContent>
  <xr:revisionPtr revIDLastSave="0" documentId="8_{D011CC0B-4CE4-4D73-A8E7-8EC484C1E0A2}" xr6:coauthVersionLast="47" xr6:coauthVersionMax="47" xr10:uidLastSave="{00000000-0000-0000-0000-000000000000}"/>
  <bookViews>
    <workbookView xWindow="-120" yWindow="-120" windowWidth="24240" windowHeight="13140" xr2:uid="{097FB827-78B6-4910-A156-378978332242}"/>
  </bookViews>
  <sheets>
    <sheet name="Selling Prices 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5" i="6" l="1"/>
  <c r="J88" i="6"/>
  <c r="J87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86" i="6"/>
  <c r="I110" i="6"/>
  <c r="I109" i="6"/>
  <c r="I65" i="6"/>
  <c r="J65" i="6" s="1"/>
  <c r="I96" i="6"/>
  <c r="I95" i="6"/>
  <c r="I107" i="6"/>
  <c r="I108" i="6"/>
  <c r="I106" i="6"/>
  <c r="I77" i="6"/>
  <c r="J77" i="6" s="1"/>
  <c r="I29" i="6"/>
  <c r="J29" i="6" s="1"/>
  <c r="I105" i="6"/>
  <c r="I104" i="6"/>
  <c r="I103" i="6"/>
  <c r="I102" i="6"/>
  <c r="I101" i="6"/>
  <c r="I100" i="6"/>
  <c r="I99" i="6"/>
  <c r="I98" i="6"/>
  <c r="I97" i="6"/>
  <c r="I86" i="6"/>
  <c r="I85" i="6"/>
  <c r="J85" i="6" s="1"/>
  <c r="I76" i="6"/>
  <c r="J76" i="6" s="1"/>
  <c r="I75" i="6"/>
  <c r="J75" i="6" s="1"/>
  <c r="I74" i="6"/>
  <c r="J74" i="6" s="1"/>
  <c r="I73" i="6"/>
  <c r="J73" i="6" s="1"/>
  <c r="I72" i="6"/>
  <c r="J72" i="6" s="1"/>
  <c r="I70" i="6"/>
  <c r="J70" i="6" s="1"/>
  <c r="I69" i="6"/>
  <c r="J69" i="6" s="1"/>
  <c r="I68" i="6"/>
  <c r="J68" i="6" s="1"/>
  <c r="I67" i="6"/>
  <c r="J67" i="6" s="1"/>
  <c r="I66" i="6"/>
  <c r="J66" i="6" s="1"/>
  <c r="I64" i="6"/>
  <c r="J64" i="6" s="1"/>
  <c r="I63" i="6"/>
  <c r="J63" i="6" s="1"/>
  <c r="I62" i="6"/>
  <c r="J62" i="6" s="1"/>
  <c r="I61" i="6"/>
  <c r="J61" i="6" s="1"/>
  <c r="I60" i="6"/>
  <c r="J60" i="6" s="1"/>
  <c r="I59" i="6"/>
  <c r="J59" i="6" s="1"/>
  <c r="I58" i="6"/>
  <c r="J58" i="6" s="1"/>
  <c r="I57" i="6"/>
  <c r="J57" i="6" s="1"/>
  <c r="I56" i="6"/>
  <c r="J56" i="6" s="1"/>
  <c r="I55" i="6"/>
  <c r="J55" i="6" s="1"/>
  <c r="I54" i="6"/>
  <c r="J54" i="6" s="1"/>
  <c r="I53" i="6"/>
  <c r="J53" i="6" s="1"/>
  <c r="I52" i="6"/>
  <c r="J52" i="6" s="1"/>
  <c r="I51" i="6"/>
  <c r="J51" i="6" s="1"/>
  <c r="I50" i="6"/>
  <c r="J50" i="6" s="1"/>
  <c r="I49" i="6"/>
  <c r="J49" i="6" s="1"/>
  <c r="I48" i="6"/>
  <c r="J48" i="6" s="1"/>
  <c r="I47" i="6"/>
  <c r="J47" i="6" s="1"/>
  <c r="I46" i="6"/>
  <c r="J46" i="6" s="1"/>
  <c r="I45" i="6"/>
  <c r="J45" i="6" s="1"/>
  <c r="I44" i="6"/>
  <c r="J44" i="6" s="1"/>
  <c r="I43" i="6"/>
  <c r="J43" i="6" s="1"/>
  <c r="I42" i="6"/>
  <c r="J42" i="6" s="1"/>
  <c r="I41" i="6"/>
  <c r="J41" i="6" s="1"/>
  <c r="I40" i="6"/>
  <c r="J40" i="6" s="1"/>
  <c r="I39" i="6"/>
  <c r="J39" i="6" s="1"/>
  <c r="I38" i="6"/>
  <c r="J38" i="6" s="1"/>
  <c r="I37" i="6"/>
  <c r="J37" i="6" s="1"/>
  <c r="I36" i="6"/>
  <c r="J36" i="6" s="1"/>
  <c r="I35" i="6"/>
  <c r="J35" i="6" s="1"/>
  <c r="I34" i="6"/>
  <c r="J34" i="6" s="1"/>
  <c r="I33" i="6"/>
  <c r="J33" i="6" s="1"/>
  <c r="I32" i="6"/>
  <c r="J32" i="6" s="1"/>
  <c r="I31" i="6"/>
  <c r="J31" i="6" s="1"/>
  <c r="I30" i="6"/>
  <c r="J30" i="6" s="1"/>
  <c r="I28" i="6"/>
  <c r="J28" i="6" s="1"/>
  <c r="I27" i="6"/>
  <c r="J27" i="6" s="1"/>
  <c r="I26" i="6"/>
  <c r="J26" i="6" s="1"/>
  <c r="I25" i="6"/>
  <c r="J25" i="6" s="1"/>
  <c r="I24" i="6"/>
  <c r="J24" i="6" s="1"/>
  <c r="I23" i="6"/>
  <c r="J23" i="6" s="1"/>
  <c r="I22" i="6"/>
  <c r="J22" i="6" s="1"/>
  <c r="I21" i="6"/>
  <c r="J21" i="6" s="1"/>
  <c r="I20" i="6"/>
  <c r="J20" i="6" s="1"/>
  <c r="I19" i="6"/>
  <c r="J19" i="6" s="1"/>
  <c r="I18" i="6"/>
  <c r="J18" i="6" s="1"/>
  <c r="I17" i="6"/>
  <c r="J17" i="6" s="1"/>
  <c r="I16" i="6"/>
  <c r="J16" i="6" s="1"/>
  <c r="I15" i="6"/>
  <c r="J15" i="6" s="1"/>
  <c r="I14" i="6"/>
  <c r="J14" i="6" s="1"/>
  <c r="I13" i="6"/>
  <c r="J13" i="6" s="1"/>
  <c r="I82" i="6"/>
  <c r="J82" i="6" s="1"/>
  <c r="I81" i="6"/>
  <c r="J81" i="6" s="1"/>
  <c r="I83" i="6"/>
  <c r="J83" i="6" s="1"/>
  <c r="I78" i="6"/>
  <c r="J78" i="6" s="1"/>
  <c r="I80" i="6"/>
  <c r="J80" i="6" s="1"/>
  <c r="I84" i="6"/>
  <c r="J84" i="6" s="1"/>
  <c r="I79" i="6"/>
  <c r="J79" i="6" s="1"/>
  <c r="J89" i="6" l="1"/>
  <c r="J94" i="6"/>
  <c r="J92" i="6"/>
  <c r="J93" i="6"/>
  <c r="J91" i="6"/>
  <c r="J90" i="6"/>
</calcChain>
</file>

<file path=xl/sharedStrings.xml><?xml version="1.0" encoding="utf-8"?>
<sst xmlns="http://schemas.openxmlformats.org/spreadsheetml/2006/main" count="449" uniqueCount="87">
  <si>
    <t>Black</t>
  </si>
  <si>
    <t>Blue</t>
  </si>
  <si>
    <t>Red</t>
  </si>
  <si>
    <t>Green</t>
  </si>
  <si>
    <t>Yellow</t>
  </si>
  <si>
    <t>Orange</t>
  </si>
  <si>
    <t>Pink</t>
  </si>
  <si>
    <t>Purple</t>
  </si>
  <si>
    <t>Colour</t>
  </si>
  <si>
    <t>Item code</t>
  </si>
  <si>
    <t>Item name</t>
  </si>
  <si>
    <t>Packaging per pkt</t>
  </si>
  <si>
    <t>Packaging per box</t>
  </si>
  <si>
    <t>Price per pkt EXCL of VAT</t>
  </si>
  <si>
    <t>Price per piece EXCL of VAT</t>
  </si>
  <si>
    <t xml:space="preserve">12 pcs </t>
  </si>
  <si>
    <t>12pcs</t>
  </si>
  <si>
    <t>576 pcs or 48 pkts</t>
  </si>
  <si>
    <t>Price per pkt INCL. of VAT</t>
  </si>
  <si>
    <t>Luxor Eco Textliter</t>
  </si>
  <si>
    <t>Luxor Textliter</t>
  </si>
  <si>
    <t>Luxor Whiteboard marker 751 - chisel Tip</t>
  </si>
  <si>
    <t>Luxor Whiteboard marker 750 - bullet Tip</t>
  </si>
  <si>
    <t>Luxor Eco Whiteboard Marker 60 - bullet Tip</t>
  </si>
  <si>
    <t>Luxor Eco Permanet marker 25 - chisel Tip</t>
  </si>
  <si>
    <t>Luxor Eco Permanet marker 20 - bullet tip</t>
  </si>
  <si>
    <t>Mini highlighter</t>
  </si>
  <si>
    <t>Whiteboard refill ink 15ml</t>
  </si>
  <si>
    <t>Permanent Marker  refill ink 15ml</t>
  </si>
  <si>
    <t>Luxor CD/DVD Markers</t>
  </si>
  <si>
    <t>Inkglide 100 orange body 0.7mm</t>
  </si>
  <si>
    <t>Luxor Refillable Permanent marker</t>
  </si>
  <si>
    <t>Luxor Refillable Whiteboard marker</t>
  </si>
  <si>
    <t>10pcs</t>
  </si>
  <si>
    <t>600pcs or 60pkts</t>
  </si>
  <si>
    <t>Luxor Eco Permanet marker 35 - chisel Tip</t>
  </si>
  <si>
    <t>Luxor Eco Permanet marker 30 -bullet Tip</t>
  </si>
  <si>
    <t>Luxor Eco Whiteboard Marker 70</t>
  </si>
  <si>
    <t>1152 pcs or 96 pkts</t>
  </si>
  <si>
    <t>50pcs</t>
  </si>
  <si>
    <t>1200 pcs or 24 pkts</t>
  </si>
  <si>
    <t>400pcs or 40pkts</t>
  </si>
  <si>
    <t>1222C</t>
  </si>
  <si>
    <t>Luxor Refillable Permanent marker -Chisel</t>
  </si>
  <si>
    <t>Luxor Refillable Permanent marker - Chisel</t>
  </si>
  <si>
    <t>1223C</t>
  </si>
  <si>
    <t>Luxor Refillable Whiteboard marker - Chisel</t>
  </si>
  <si>
    <t>Luxor Refillable Whiteboard marker -Chisel</t>
  </si>
  <si>
    <t>33301/10WT</t>
  </si>
  <si>
    <t>Fabric marker wallets of 10</t>
  </si>
  <si>
    <t>Wallet of 10</t>
  </si>
  <si>
    <t>144 wallets</t>
  </si>
  <si>
    <t>33302/10WT</t>
  </si>
  <si>
    <t>33303/10WT</t>
  </si>
  <si>
    <t>Inkglide 100 orange body 1.0mm</t>
  </si>
  <si>
    <t>16601/50BOX</t>
  </si>
  <si>
    <t>16602/50BOX</t>
  </si>
  <si>
    <t>16603/50BOX</t>
  </si>
  <si>
    <t>Luxor Eco Whiteboard marker 65 - chisel Tip</t>
  </si>
  <si>
    <t>18101/25 BOX</t>
  </si>
  <si>
    <t>25pcs</t>
  </si>
  <si>
    <t>1200 pcs or 48 pkts</t>
  </si>
  <si>
    <t>18102/25 BOX</t>
  </si>
  <si>
    <t>18103/25 BOX</t>
  </si>
  <si>
    <t>18101F/25 BOX</t>
  </si>
  <si>
    <t>18102F/25 BOX</t>
  </si>
  <si>
    <t>18103F/25 BOX</t>
  </si>
  <si>
    <t>300 pcs or 30 pkts</t>
  </si>
  <si>
    <t>18101F/20 BOX</t>
  </si>
  <si>
    <t>18102F/20 BOX</t>
  </si>
  <si>
    <t>18103F/20 BOX</t>
  </si>
  <si>
    <t>20pcs</t>
  </si>
  <si>
    <t>1200 pcs or 60 pkts</t>
  </si>
  <si>
    <t>18101/50 BOX</t>
  </si>
  <si>
    <t>18102/50 BOX</t>
  </si>
  <si>
    <t>Violet</t>
  </si>
  <si>
    <t>33304/10WT</t>
  </si>
  <si>
    <t>33305/10WT</t>
  </si>
  <si>
    <t>33306/10WT</t>
  </si>
  <si>
    <t>Assorted</t>
  </si>
  <si>
    <t>Felt Pens/Colouring Marker</t>
  </si>
  <si>
    <t>Wallet of 6</t>
  </si>
  <si>
    <t>Wallet of 12</t>
  </si>
  <si>
    <t>6101/6WT</t>
  </si>
  <si>
    <t>6101/12WT</t>
  </si>
  <si>
    <t>288 wallets</t>
  </si>
  <si>
    <t>LUXOR MARKERS AND TEXTLIGHTERS PRICES WEF 1ST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</si>
</sst>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7" xfId="0" applyBorder="1"/>
    <xf numFmtId="0" fontId="0" fillId="0" borderId="6" xfId="0" applyBorder="1"/>
    <xf numFmtId="0" fontId="1" fillId="0" borderId="7" xfId="0" applyFont="1" applyBorder="1"/>
    <xf numFmtId="0" fontId="1" fillId="0" borderId="5" xfId="0" applyFont="1" applyBorder="1"/>
    <xf numFmtId="0" fontId="4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" fontId="3" fillId="0" borderId="1" xfId="0" applyNumberFormat="1" applyFont="1" applyBorder="1" applyAlignment="1">
      <alignment horizontal="left" shrinkToFit="1"/>
    </xf>
    <xf numFmtId="1" fontId="3" fillId="0" borderId="2" xfId="0" applyNumberFormat="1" applyFont="1" applyBorder="1" applyAlignment="1">
      <alignment horizontal="left" shrinkToFit="1"/>
    </xf>
    <xf numFmtId="0" fontId="1" fillId="0" borderId="5" xfId="0" applyFont="1" applyBorder="1" applyAlignment="1">
      <alignment horizontal="center" wrapText="1"/>
    </xf>
    <xf numFmtId="0" fontId="0" fillId="0" borderId="5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3" fillId="0" borderId="10" xfId="0" applyNumberFormat="1" applyFont="1" applyBorder="1" applyAlignment="1">
      <alignment horizontal="left" shrinkToFit="1"/>
    </xf>
    <xf numFmtId="0" fontId="4" fillId="0" borderId="15" xfId="0" applyFont="1" applyBorder="1" applyAlignment="1">
      <alignment wrapText="1"/>
    </xf>
    <xf numFmtId="0" fontId="4" fillId="3" borderId="15" xfId="0" applyFont="1" applyFill="1" applyBorder="1" applyAlignment="1">
      <alignment wrapText="1"/>
    </xf>
    <xf numFmtId="0" fontId="4" fillId="0" borderId="16" xfId="0" applyFont="1" applyBorder="1" applyAlignment="1">
      <alignment wrapText="1"/>
    </xf>
    <xf numFmtId="2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left" shrinkToFit="1"/>
    </xf>
    <xf numFmtId="1" fontId="3" fillId="0" borderId="9" xfId="0" applyNumberFormat="1" applyFont="1" applyBorder="1" applyAlignment="1">
      <alignment horizontal="left" shrinkToFit="1"/>
    </xf>
    <xf numFmtId="0" fontId="1" fillId="0" borderId="10" xfId="0" applyFont="1" applyBorder="1" applyAlignment="1">
      <alignment horizontal="left"/>
    </xf>
    <xf numFmtId="1" fontId="3" fillId="0" borderId="13" xfId="0" applyNumberFormat="1" applyFont="1" applyBorder="1" applyAlignment="1">
      <alignment horizontal="left" shrinkToFit="1"/>
    </xf>
    <xf numFmtId="0" fontId="1" fillId="2" borderId="5" xfId="0" applyFont="1" applyFill="1" applyBorder="1" applyAlignment="1">
      <alignment horizontal="center" wrapText="1"/>
    </xf>
    <xf numFmtId="1" fontId="4" fillId="2" borderId="2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1" fontId="3" fillId="0" borderId="12" xfId="0" applyNumberFormat="1" applyFont="1" applyBorder="1" applyAlignment="1">
      <alignment horizontal="left" shrinkToFit="1"/>
    </xf>
    <xf numFmtId="2" fontId="4" fillId="2" borderId="2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wrapText="1"/>
    </xf>
    <xf numFmtId="1" fontId="8" fillId="4" borderId="1" xfId="0" applyNumberFormat="1" applyFont="1" applyFill="1" applyBorder="1" applyAlignment="1">
      <alignment horizontal="center"/>
    </xf>
    <xf numFmtId="1" fontId="8" fillId="4" borderId="2" xfId="0" applyNumberFormat="1" applyFont="1" applyFill="1" applyBorder="1" applyAlignment="1">
      <alignment horizontal="center"/>
    </xf>
    <xf numFmtId="1" fontId="3" fillId="0" borderId="17" xfId="0" applyNumberFormat="1" applyFont="1" applyBorder="1" applyAlignment="1">
      <alignment horizontal="left" shrinkToFit="1"/>
    </xf>
    <xf numFmtId="0" fontId="2" fillId="0" borderId="18" xfId="0" applyFont="1" applyBorder="1" applyAlignment="1">
      <alignment wrapText="1"/>
    </xf>
    <xf numFmtId="0" fontId="4" fillId="0" borderId="18" xfId="0" applyFont="1" applyBorder="1" applyAlignment="1">
      <alignment wrapText="1"/>
    </xf>
    <xf numFmtId="1" fontId="0" fillId="0" borderId="0" xfId="0" applyNumberFormat="1"/>
    <xf numFmtId="1" fontId="3" fillId="0" borderId="19" xfId="0" applyNumberFormat="1" applyFont="1" applyBorder="1" applyAlignment="1">
      <alignment horizontal="left" shrinkToFit="1"/>
    </xf>
    <xf numFmtId="2" fontId="4" fillId="0" borderId="4" xfId="0" applyNumberFormat="1" applyFont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1" fontId="8" fillId="4" borderId="4" xfId="0" applyNumberFormat="1" applyFont="1" applyFill="1" applyBorder="1" applyAlignment="1">
      <alignment horizontal="center"/>
    </xf>
    <xf numFmtId="2" fontId="0" fillId="0" borderId="0" xfId="0" applyNumberFormat="1"/>
    <xf numFmtId="164" fontId="4" fillId="2" borderId="2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1" fillId="0" borderId="16" xfId="0" applyFont="1" applyBorder="1" applyAlignment="1">
      <alignment wrapText="1"/>
    </xf>
    <xf numFmtId="0" fontId="1" fillId="0" borderId="15" xfId="0" applyFont="1" applyBorder="1" applyAlignment="1">
      <alignment wrapText="1"/>
    </xf>
    <xf numFmtId="1" fontId="3" fillId="3" borderId="12" xfId="0" applyNumberFormat="1" applyFont="1" applyFill="1" applyBorder="1" applyAlignment="1">
      <alignment horizontal="left" shrinkToFit="1"/>
    </xf>
    <xf numFmtId="0" fontId="1" fillId="3" borderId="11" xfId="0" applyFont="1" applyFill="1" applyBorder="1" applyAlignment="1">
      <alignment horizontal="left"/>
    </xf>
    <xf numFmtId="2" fontId="4" fillId="3" borderId="2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2095499</xdr:colOff>
      <xdr:row>0</xdr:row>
      <xdr:rowOff>104775</xdr:rowOff>
    </xdr:from>
    <xdr:to>
      <xdr:col>6</xdr:col>
      <xdr:colOff>228600</xdr:colOff>
      <xdr:row>5</xdr:row>
      <xdr:rowOff>142875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F676FEA0-1ADD-4F74-9E16-908341F5F4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4380" t="3526" r="49700" b="87484"/>
        <a:stretch/>
      </xdr:blipFill>
      <xdr:spPr bwMode="auto">
        <a:xfrm>
          <a:off x="3895724" y="104775"/>
          <a:ext cx="3495676" cy="9906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34EB-5EB0-486A-A02A-26384C433099}">
  <dimension ref="B7:M112"/>
  <sheetViews>
    <sheetView tabSelected="1" workbookViewId="0">
      <selection activeCell="N7" sqref="N7"/>
    </sheetView>
  </sheetViews>
  <sheetFormatPr defaultRowHeight="15" x14ac:dyDescent="0.25"/>
  <cols>
    <col min="2" max="2" width="7.85546875" customWidth="1"/>
    <col min="3" max="3" width="11.85546875" customWidth="1"/>
    <col min="4" max="4" width="50" customWidth="1"/>
    <col min="5" max="5" width="16.42578125" customWidth="1"/>
    <col min="6" max="6" width="14" style="14" customWidth="1"/>
    <col min="7" max="7" width="18" style="14" bestFit="1" customWidth="1"/>
    <col min="8" max="8" width="14.28515625" bestFit="1" customWidth="1"/>
    <col min="9" max="9" width="16.85546875" bestFit="1" customWidth="1"/>
    <col min="10" max="10" width="19.28515625" bestFit="1" customWidth="1"/>
  </cols>
  <sheetData>
    <row r="7" spans="2:10" ht="19.5" thickBot="1" x14ac:dyDescent="0.35">
      <c r="B7" s="46" t="s">
        <v>86</v>
      </c>
      <c r="C7" s="46"/>
      <c r="D7" s="46"/>
      <c r="E7" s="46"/>
      <c r="F7" s="46"/>
      <c r="G7" s="46"/>
      <c r="H7" s="46"/>
      <c r="I7" s="46"/>
      <c r="J7" s="46"/>
    </row>
    <row r="8" spans="2:10" ht="57" customHeight="1" thickBot="1" x14ac:dyDescent="0.3">
      <c r="B8" s="2"/>
      <c r="C8" s="4" t="s">
        <v>9</v>
      </c>
      <c r="D8" s="4" t="s">
        <v>10</v>
      </c>
      <c r="E8" s="4" t="s">
        <v>8</v>
      </c>
      <c r="F8" s="12" t="s">
        <v>11</v>
      </c>
      <c r="G8" s="12" t="s">
        <v>12</v>
      </c>
      <c r="H8" s="28" t="s">
        <v>14</v>
      </c>
      <c r="I8" s="12" t="s">
        <v>13</v>
      </c>
      <c r="J8" s="33" t="s">
        <v>18</v>
      </c>
    </row>
    <row r="9" spans="2:10" ht="15.75" x14ac:dyDescent="0.25">
      <c r="B9" s="10">
        <v>1</v>
      </c>
      <c r="C9" s="24">
        <v>201</v>
      </c>
      <c r="D9" s="7" t="s">
        <v>25</v>
      </c>
      <c r="E9" s="5" t="s">
        <v>0</v>
      </c>
      <c r="F9" s="20" t="s">
        <v>15</v>
      </c>
      <c r="G9" s="20" t="s">
        <v>17</v>
      </c>
      <c r="H9" s="47">
        <v>25.86</v>
      </c>
      <c r="I9" s="21">
        <v>310.32</v>
      </c>
      <c r="J9" s="34">
        <v>359.97119999999995</v>
      </c>
    </row>
    <row r="10" spans="2:10" ht="15.75" x14ac:dyDescent="0.25">
      <c r="B10" s="11">
        <v>2</v>
      </c>
      <c r="C10" s="25">
        <v>202</v>
      </c>
      <c r="D10" s="8" t="s">
        <v>25</v>
      </c>
      <c r="E10" s="6" t="s">
        <v>1</v>
      </c>
      <c r="F10" s="22" t="s">
        <v>16</v>
      </c>
      <c r="G10" s="22" t="s">
        <v>17</v>
      </c>
      <c r="H10" s="45">
        <v>25.86</v>
      </c>
      <c r="I10" s="23">
        <v>310.32</v>
      </c>
      <c r="J10" s="35">
        <v>359.97119999999995</v>
      </c>
    </row>
    <row r="11" spans="2:10" ht="15.75" x14ac:dyDescent="0.25">
      <c r="B11" s="16">
        <v>3</v>
      </c>
      <c r="C11" s="25">
        <v>203</v>
      </c>
      <c r="D11" s="8" t="s">
        <v>25</v>
      </c>
      <c r="E11" s="6" t="s">
        <v>2</v>
      </c>
      <c r="F11" s="22" t="s">
        <v>16</v>
      </c>
      <c r="G11" s="22" t="s">
        <v>17</v>
      </c>
      <c r="H11" s="45">
        <v>25.86</v>
      </c>
      <c r="I11" s="23">
        <v>310.32</v>
      </c>
      <c r="J11" s="35">
        <v>359.97119999999995</v>
      </c>
    </row>
    <row r="12" spans="2:10" ht="15.75" x14ac:dyDescent="0.25">
      <c r="B12" s="16">
        <v>4</v>
      </c>
      <c r="C12" s="25">
        <v>204</v>
      </c>
      <c r="D12" s="26" t="s">
        <v>25</v>
      </c>
      <c r="E12" s="6" t="s">
        <v>3</v>
      </c>
      <c r="F12" s="22" t="s">
        <v>16</v>
      </c>
      <c r="G12" s="22" t="s">
        <v>17</v>
      </c>
      <c r="H12" s="45">
        <v>25.86</v>
      </c>
      <c r="I12" s="23">
        <v>310.32</v>
      </c>
      <c r="J12" s="35">
        <v>359.97119999999995</v>
      </c>
    </row>
    <row r="13" spans="2:10" ht="15.75" x14ac:dyDescent="0.25">
      <c r="B13" s="16">
        <v>5</v>
      </c>
      <c r="C13" s="25">
        <v>251</v>
      </c>
      <c r="D13" s="8" t="s">
        <v>24</v>
      </c>
      <c r="E13" s="6" t="s">
        <v>0</v>
      </c>
      <c r="F13" s="22" t="s">
        <v>16</v>
      </c>
      <c r="G13" s="22" t="s">
        <v>17</v>
      </c>
      <c r="H13" s="45">
        <v>25.86</v>
      </c>
      <c r="I13" s="23">
        <f t="shared" ref="I13:I70" si="0">H13*12</f>
        <v>310.32</v>
      </c>
      <c r="J13" s="35">
        <f t="shared" ref="J13:J70" si="1">I13*1.16</f>
        <v>359.97119999999995</v>
      </c>
    </row>
    <row r="14" spans="2:10" ht="15.75" x14ac:dyDescent="0.25">
      <c r="B14" s="16">
        <v>6</v>
      </c>
      <c r="C14" s="25">
        <v>252</v>
      </c>
      <c r="D14" s="8" t="s">
        <v>24</v>
      </c>
      <c r="E14" s="6" t="s">
        <v>1</v>
      </c>
      <c r="F14" s="22" t="s">
        <v>16</v>
      </c>
      <c r="G14" s="22" t="s">
        <v>17</v>
      </c>
      <c r="H14" s="45">
        <v>25.86</v>
      </c>
      <c r="I14" s="23">
        <f t="shared" si="0"/>
        <v>310.32</v>
      </c>
      <c r="J14" s="35">
        <f t="shared" si="1"/>
        <v>359.97119999999995</v>
      </c>
    </row>
    <row r="15" spans="2:10" ht="15.75" x14ac:dyDescent="0.25">
      <c r="B15" s="16">
        <v>7</v>
      </c>
      <c r="C15" s="25">
        <v>253</v>
      </c>
      <c r="D15" s="8" t="s">
        <v>24</v>
      </c>
      <c r="E15" s="6" t="s">
        <v>2</v>
      </c>
      <c r="F15" s="22" t="s">
        <v>16</v>
      </c>
      <c r="G15" s="22" t="s">
        <v>17</v>
      </c>
      <c r="H15" s="45">
        <v>25.86</v>
      </c>
      <c r="I15" s="23">
        <f t="shared" si="0"/>
        <v>310.32</v>
      </c>
      <c r="J15" s="35">
        <f t="shared" si="1"/>
        <v>359.97119999999995</v>
      </c>
    </row>
    <row r="16" spans="2:10" ht="15.75" x14ac:dyDescent="0.25">
      <c r="B16" s="16">
        <v>8</v>
      </c>
      <c r="C16" s="25">
        <v>254</v>
      </c>
      <c r="D16" s="8" t="s">
        <v>24</v>
      </c>
      <c r="E16" s="6" t="s">
        <v>3</v>
      </c>
      <c r="F16" s="22" t="s">
        <v>16</v>
      </c>
      <c r="G16" s="22" t="s">
        <v>17</v>
      </c>
      <c r="H16" s="45">
        <v>25.86</v>
      </c>
      <c r="I16" s="23">
        <f t="shared" si="0"/>
        <v>310.32</v>
      </c>
      <c r="J16" s="35">
        <f t="shared" si="1"/>
        <v>359.97119999999995</v>
      </c>
    </row>
    <row r="17" spans="2:10" ht="15.75" x14ac:dyDescent="0.25">
      <c r="B17" s="16">
        <v>9</v>
      </c>
      <c r="C17" s="36">
        <v>301</v>
      </c>
      <c r="D17" s="8" t="s">
        <v>36</v>
      </c>
      <c r="E17" s="37" t="s">
        <v>0</v>
      </c>
      <c r="F17" s="22" t="s">
        <v>16</v>
      </c>
      <c r="G17" s="22" t="s">
        <v>17</v>
      </c>
      <c r="H17" s="29">
        <v>35</v>
      </c>
      <c r="I17" s="23">
        <f t="shared" si="0"/>
        <v>420</v>
      </c>
      <c r="J17" s="35">
        <f t="shared" si="1"/>
        <v>487.2</v>
      </c>
    </row>
    <row r="18" spans="2:10" ht="15.75" x14ac:dyDescent="0.25">
      <c r="B18" s="16">
        <v>10</v>
      </c>
      <c r="C18" s="36">
        <v>302</v>
      </c>
      <c r="D18" s="8" t="s">
        <v>36</v>
      </c>
      <c r="E18" s="37" t="s">
        <v>1</v>
      </c>
      <c r="F18" s="22" t="s">
        <v>16</v>
      </c>
      <c r="G18" s="22" t="s">
        <v>17</v>
      </c>
      <c r="H18" s="29">
        <v>35</v>
      </c>
      <c r="I18" s="23">
        <f t="shared" si="0"/>
        <v>420</v>
      </c>
      <c r="J18" s="35">
        <f t="shared" si="1"/>
        <v>487.2</v>
      </c>
    </row>
    <row r="19" spans="2:10" ht="15.75" x14ac:dyDescent="0.25">
      <c r="B19" s="16">
        <v>11</v>
      </c>
      <c r="C19" s="36">
        <v>303</v>
      </c>
      <c r="D19" s="8" t="s">
        <v>36</v>
      </c>
      <c r="E19" s="37" t="s">
        <v>2</v>
      </c>
      <c r="F19" s="22" t="s">
        <v>16</v>
      </c>
      <c r="G19" s="22" t="s">
        <v>17</v>
      </c>
      <c r="H19" s="29">
        <v>35</v>
      </c>
      <c r="I19" s="23">
        <f t="shared" si="0"/>
        <v>420</v>
      </c>
      <c r="J19" s="35">
        <f t="shared" si="1"/>
        <v>487.2</v>
      </c>
    </row>
    <row r="20" spans="2:10" ht="15.75" x14ac:dyDescent="0.25">
      <c r="B20" s="16">
        <v>12</v>
      </c>
      <c r="C20" s="36">
        <v>304</v>
      </c>
      <c r="D20" s="8" t="s">
        <v>36</v>
      </c>
      <c r="E20" s="37" t="s">
        <v>3</v>
      </c>
      <c r="F20" s="22" t="s">
        <v>16</v>
      </c>
      <c r="G20" s="22" t="s">
        <v>17</v>
      </c>
      <c r="H20" s="29">
        <v>35</v>
      </c>
      <c r="I20" s="23">
        <f t="shared" si="0"/>
        <v>420</v>
      </c>
      <c r="J20" s="35">
        <f t="shared" si="1"/>
        <v>487.2</v>
      </c>
    </row>
    <row r="21" spans="2:10" ht="15.75" x14ac:dyDescent="0.25">
      <c r="B21" s="16">
        <v>13</v>
      </c>
      <c r="C21" s="36">
        <v>351</v>
      </c>
      <c r="D21" s="8" t="s">
        <v>35</v>
      </c>
      <c r="E21" s="37" t="s">
        <v>0</v>
      </c>
      <c r="F21" s="22" t="s">
        <v>16</v>
      </c>
      <c r="G21" s="22" t="s">
        <v>17</v>
      </c>
      <c r="H21" s="29">
        <v>35</v>
      </c>
      <c r="I21" s="23">
        <f t="shared" si="0"/>
        <v>420</v>
      </c>
      <c r="J21" s="35">
        <f t="shared" si="1"/>
        <v>487.2</v>
      </c>
    </row>
    <row r="22" spans="2:10" ht="15.75" x14ac:dyDescent="0.25">
      <c r="B22" s="16">
        <v>14</v>
      </c>
      <c r="C22" s="36">
        <v>352</v>
      </c>
      <c r="D22" s="8" t="s">
        <v>35</v>
      </c>
      <c r="E22" s="37" t="s">
        <v>1</v>
      </c>
      <c r="F22" s="22" t="s">
        <v>16</v>
      </c>
      <c r="G22" s="22" t="s">
        <v>17</v>
      </c>
      <c r="H22" s="29">
        <v>35</v>
      </c>
      <c r="I22" s="23">
        <f t="shared" si="0"/>
        <v>420</v>
      </c>
      <c r="J22" s="35">
        <f t="shared" si="1"/>
        <v>487.2</v>
      </c>
    </row>
    <row r="23" spans="2:10" ht="15.75" x14ac:dyDescent="0.25">
      <c r="B23" s="16">
        <v>15</v>
      </c>
      <c r="C23" s="36">
        <v>353</v>
      </c>
      <c r="D23" s="8" t="s">
        <v>35</v>
      </c>
      <c r="E23" s="37" t="s">
        <v>2</v>
      </c>
      <c r="F23" s="22" t="s">
        <v>16</v>
      </c>
      <c r="G23" s="22" t="s">
        <v>17</v>
      </c>
      <c r="H23" s="29">
        <v>35</v>
      </c>
      <c r="I23" s="23">
        <f t="shared" si="0"/>
        <v>420</v>
      </c>
      <c r="J23" s="35">
        <f t="shared" si="1"/>
        <v>487.2</v>
      </c>
    </row>
    <row r="24" spans="2:10" ht="15.75" x14ac:dyDescent="0.25">
      <c r="B24" s="16">
        <v>16</v>
      </c>
      <c r="C24" s="36">
        <v>354</v>
      </c>
      <c r="D24" s="8" t="s">
        <v>35</v>
      </c>
      <c r="E24" s="37" t="s">
        <v>3</v>
      </c>
      <c r="F24" s="22" t="s">
        <v>16</v>
      </c>
      <c r="G24" s="22" t="s">
        <v>17</v>
      </c>
      <c r="H24" s="29">
        <v>35</v>
      </c>
      <c r="I24" s="23">
        <f>H24*12</f>
        <v>420</v>
      </c>
      <c r="J24" s="35">
        <f t="shared" si="1"/>
        <v>487.2</v>
      </c>
    </row>
    <row r="25" spans="2:10" ht="15.75" x14ac:dyDescent="0.25">
      <c r="B25" s="16">
        <v>17</v>
      </c>
      <c r="C25" s="36">
        <v>651</v>
      </c>
      <c r="D25" s="8" t="s">
        <v>58</v>
      </c>
      <c r="E25" s="37" t="s">
        <v>0</v>
      </c>
      <c r="F25" s="22" t="s">
        <v>16</v>
      </c>
      <c r="G25" s="22" t="s">
        <v>17</v>
      </c>
      <c r="H25" s="45">
        <v>30.17</v>
      </c>
      <c r="I25" s="23">
        <f t="shared" ref="I25:I28" si="2">H25*12</f>
        <v>362.04</v>
      </c>
      <c r="J25" s="35">
        <f t="shared" si="1"/>
        <v>419.96640000000002</v>
      </c>
    </row>
    <row r="26" spans="2:10" ht="15.75" x14ac:dyDescent="0.25">
      <c r="B26" s="16">
        <v>18</v>
      </c>
      <c r="C26" s="36">
        <v>652</v>
      </c>
      <c r="D26" s="8" t="s">
        <v>58</v>
      </c>
      <c r="E26" s="37" t="s">
        <v>1</v>
      </c>
      <c r="F26" s="22" t="s">
        <v>16</v>
      </c>
      <c r="G26" s="22" t="s">
        <v>17</v>
      </c>
      <c r="H26" s="45">
        <v>30.17</v>
      </c>
      <c r="I26" s="23">
        <f t="shared" si="2"/>
        <v>362.04</v>
      </c>
      <c r="J26" s="35">
        <f t="shared" si="1"/>
        <v>419.96640000000002</v>
      </c>
    </row>
    <row r="27" spans="2:10" ht="15.75" x14ac:dyDescent="0.25">
      <c r="B27" s="16">
        <v>19</v>
      </c>
      <c r="C27" s="36">
        <v>653</v>
      </c>
      <c r="D27" s="8" t="s">
        <v>58</v>
      </c>
      <c r="E27" s="37" t="s">
        <v>2</v>
      </c>
      <c r="F27" s="22" t="s">
        <v>16</v>
      </c>
      <c r="G27" s="22" t="s">
        <v>17</v>
      </c>
      <c r="H27" s="45">
        <v>30.17</v>
      </c>
      <c r="I27" s="23">
        <f t="shared" si="2"/>
        <v>362.04</v>
      </c>
      <c r="J27" s="35">
        <f t="shared" si="1"/>
        <v>419.96640000000002</v>
      </c>
    </row>
    <row r="28" spans="2:10" ht="15.75" x14ac:dyDescent="0.25">
      <c r="B28" s="16">
        <v>20</v>
      </c>
      <c r="C28" s="36">
        <v>654</v>
      </c>
      <c r="D28" s="8" t="s">
        <v>58</v>
      </c>
      <c r="E28" s="37" t="s">
        <v>3</v>
      </c>
      <c r="F28" s="22" t="s">
        <v>16</v>
      </c>
      <c r="G28" s="22" t="s">
        <v>17</v>
      </c>
      <c r="H28" s="45">
        <v>30.17</v>
      </c>
      <c r="I28" s="23">
        <f t="shared" si="2"/>
        <v>362.04</v>
      </c>
      <c r="J28" s="35">
        <f t="shared" si="1"/>
        <v>419.96640000000002</v>
      </c>
    </row>
    <row r="29" spans="2:10" ht="15.75" x14ac:dyDescent="0.25">
      <c r="B29" s="16">
        <v>21</v>
      </c>
      <c r="C29" s="36">
        <v>1222</v>
      </c>
      <c r="D29" s="8" t="s">
        <v>31</v>
      </c>
      <c r="E29" s="37" t="s">
        <v>0</v>
      </c>
      <c r="F29" s="22" t="s">
        <v>33</v>
      </c>
      <c r="G29" s="22" t="s">
        <v>34</v>
      </c>
      <c r="H29" s="29">
        <v>50</v>
      </c>
      <c r="I29" s="23">
        <f>H29*10</f>
        <v>500</v>
      </c>
      <c r="J29" s="35">
        <f>I29*1.16</f>
        <v>580</v>
      </c>
    </row>
    <row r="30" spans="2:10" ht="15.75" x14ac:dyDescent="0.25">
      <c r="B30" s="16">
        <v>22</v>
      </c>
      <c r="C30" s="36">
        <v>1222</v>
      </c>
      <c r="D30" s="8" t="s">
        <v>31</v>
      </c>
      <c r="E30" s="37" t="s">
        <v>1</v>
      </c>
      <c r="F30" s="22" t="s">
        <v>33</v>
      </c>
      <c r="G30" s="22" t="s">
        <v>34</v>
      </c>
      <c r="H30" s="29">
        <v>50</v>
      </c>
      <c r="I30" s="23">
        <f t="shared" ref="I30:I44" si="3">H30*10</f>
        <v>500</v>
      </c>
      <c r="J30" s="35">
        <f t="shared" ref="J30:J35" si="4">I30*1.16</f>
        <v>580</v>
      </c>
    </row>
    <row r="31" spans="2:10" ht="15.75" x14ac:dyDescent="0.25">
      <c r="B31" s="16">
        <v>23</v>
      </c>
      <c r="C31" s="36">
        <v>1222</v>
      </c>
      <c r="D31" s="8" t="s">
        <v>31</v>
      </c>
      <c r="E31" s="37" t="s">
        <v>2</v>
      </c>
      <c r="F31" s="22" t="s">
        <v>33</v>
      </c>
      <c r="G31" s="22" t="s">
        <v>34</v>
      </c>
      <c r="H31" s="29">
        <v>50</v>
      </c>
      <c r="I31" s="23">
        <f t="shared" si="3"/>
        <v>500</v>
      </c>
      <c r="J31" s="35">
        <f t="shared" si="4"/>
        <v>580</v>
      </c>
    </row>
    <row r="32" spans="2:10" ht="15.75" x14ac:dyDescent="0.25">
      <c r="B32" s="16">
        <v>24</v>
      </c>
      <c r="C32" s="36">
        <v>1222</v>
      </c>
      <c r="D32" s="8" t="s">
        <v>31</v>
      </c>
      <c r="E32" s="37" t="s">
        <v>3</v>
      </c>
      <c r="F32" s="22" t="s">
        <v>33</v>
      </c>
      <c r="G32" s="22" t="s">
        <v>34</v>
      </c>
      <c r="H32" s="29">
        <v>50</v>
      </c>
      <c r="I32" s="23">
        <f t="shared" si="3"/>
        <v>500</v>
      </c>
      <c r="J32" s="35">
        <f t="shared" si="4"/>
        <v>580</v>
      </c>
    </row>
    <row r="33" spans="2:10" ht="15.75" x14ac:dyDescent="0.25">
      <c r="B33" s="16">
        <v>25</v>
      </c>
      <c r="C33" s="36">
        <v>1223</v>
      </c>
      <c r="D33" s="8" t="s">
        <v>32</v>
      </c>
      <c r="E33" s="37" t="s">
        <v>0</v>
      </c>
      <c r="F33" s="22" t="s">
        <v>33</v>
      </c>
      <c r="G33" s="22" t="s">
        <v>34</v>
      </c>
      <c r="H33" s="29">
        <v>50</v>
      </c>
      <c r="I33" s="23">
        <f t="shared" si="3"/>
        <v>500</v>
      </c>
      <c r="J33" s="35">
        <f t="shared" si="4"/>
        <v>580</v>
      </c>
    </row>
    <row r="34" spans="2:10" ht="15.75" x14ac:dyDescent="0.25">
      <c r="B34" s="16">
        <v>26</v>
      </c>
      <c r="C34" s="36">
        <v>1223</v>
      </c>
      <c r="D34" s="8" t="s">
        <v>32</v>
      </c>
      <c r="E34" s="37" t="s">
        <v>1</v>
      </c>
      <c r="F34" s="22" t="s">
        <v>33</v>
      </c>
      <c r="G34" s="22" t="s">
        <v>34</v>
      </c>
      <c r="H34" s="29">
        <v>50</v>
      </c>
      <c r="I34" s="23">
        <f t="shared" si="3"/>
        <v>500</v>
      </c>
      <c r="J34" s="35">
        <f t="shared" si="4"/>
        <v>580</v>
      </c>
    </row>
    <row r="35" spans="2:10" ht="15.75" x14ac:dyDescent="0.25">
      <c r="B35" s="16">
        <v>27</v>
      </c>
      <c r="C35" s="36">
        <v>1223</v>
      </c>
      <c r="D35" s="8" t="s">
        <v>32</v>
      </c>
      <c r="E35" s="37" t="s">
        <v>2</v>
      </c>
      <c r="F35" s="22" t="s">
        <v>33</v>
      </c>
      <c r="G35" s="22" t="s">
        <v>34</v>
      </c>
      <c r="H35" s="29">
        <v>50</v>
      </c>
      <c r="I35" s="23">
        <f t="shared" si="3"/>
        <v>500</v>
      </c>
      <c r="J35" s="35">
        <f t="shared" si="4"/>
        <v>580</v>
      </c>
    </row>
    <row r="36" spans="2:10" ht="15.75" x14ac:dyDescent="0.25">
      <c r="B36" s="16">
        <v>28</v>
      </c>
      <c r="C36" s="36">
        <v>1223</v>
      </c>
      <c r="D36" s="8" t="s">
        <v>32</v>
      </c>
      <c r="E36" s="37" t="s">
        <v>3</v>
      </c>
      <c r="F36" s="22" t="s">
        <v>33</v>
      </c>
      <c r="G36" s="22" t="s">
        <v>41</v>
      </c>
      <c r="H36" s="29">
        <v>50</v>
      </c>
      <c r="I36" s="23">
        <f t="shared" si="3"/>
        <v>500</v>
      </c>
      <c r="J36" s="35">
        <f>I36*1.16</f>
        <v>580</v>
      </c>
    </row>
    <row r="37" spans="2:10" ht="15.75" x14ac:dyDescent="0.25">
      <c r="B37" s="16">
        <v>29</v>
      </c>
      <c r="C37" s="25" t="s">
        <v>42</v>
      </c>
      <c r="D37" s="8" t="s">
        <v>43</v>
      </c>
      <c r="E37" s="37" t="s">
        <v>0</v>
      </c>
      <c r="F37" s="22" t="s">
        <v>33</v>
      </c>
      <c r="G37" s="22" t="s">
        <v>41</v>
      </c>
      <c r="H37" s="29">
        <v>50</v>
      </c>
      <c r="I37" s="23">
        <f t="shared" si="3"/>
        <v>500</v>
      </c>
      <c r="J37" s="35">
        <f t="shared" ref="J37:J44" si="5">I37*1.16</f>
        <v>580</v>
      </c>
    </row>
    <row r="38" spans="2:10" ht="15.75" x14ac:dyDescent="0.25">
      <c r="B38" s="16">
        <v>30</v>
      </c>
      <c r="C38" s="25" t="s">
        <v>42</v>
      </c>
      <c r="D38" s="8" t="s">
        <v>43</v>
      </c>
      <c r="E38" s="37" t="s">
        <v>1</v>
      </c>
      <c r="F38" s="22" t="s">
        <v>33</v>
      </c>
      <c r="G38" s="22" t="s">
        <v>41</v>
      </c>
      <c r="H38" s="29">
        <v>50</v>
      </c>
      <c r="I38" s="23">
        <f t="shared" si="3"/>
        <v>500</v>
      </c>
      <c r="J38" s="35">
        <f t="shared" si="5"/>
        <v>580</v>
      </c>
    </row>
    <row r="39" spans="2:10" ht="15.75" x14ac:dyDescent="0.25">
      <c r="B39" s="16">
        <v>31</v>
      </c>
      <c r="C39" s="25" t="s">
        <v>42</v>
      </c>
      <c r="D39" s="8" t="s">
        <v>44</v>
      </c>
      <c r="E39" s="37" t="s">
        <v>2</v>
      </c>
      <c r="F39" s="22" t="s">
        <v>33</v>
      </c>
      <c r="G39" s="22" t="s">
        <v>41</v>
      </c>
      <c r="H39" s="29">
        <v>50</v>
      </c>
      <c r="I39" s="23">
        <f t="shared" si="3"/>
        <v>500</v>
      </c>
      <c r="J39" s="35">
        <f t="shared" si="5"/>
        <v>580</v>
      </c>
    </row>
    <row r="40" spans="2:10" ht="15.75" x14ac:dyDescent="0.25">
      <c r="B40" s="16">
        <v>32</v>
      </c>
      <c r="C40" s="25" t="s">
        <v>42</v>
      </c>
      <c r="D40" s="8" t="s">
        <v>43</v>
      </c>
      <c r="E40" s="37" t="s">
        <v>3</v>
      </c>
      <c r="F40" s="22" t="s">
        <v>33</v>
      </c>
      <c r="G40" s="22" t="s">
        <v>41</v>
      </c>
      <c r="H40" s="29">
        <v>50</v>
      </c>
      <c r="I40" s="23">
        <f t="shared" si="3"/>
        <v>500</v>
      </c>
      <c r="J40" s="35">
        <f t="shared" si="5"/>
        <v>580</v>
      </c>
    </row>
    <row r="41" spans="2:10" ht="15.75" x14ac:dyDescent="0.25">
      <c r="B41" s="16">
        <v>33</v>
      </c>
      <c r="C41" s="25" t="s">
        <v>45</v>
      </c>
      <c r="D41" s="8" t="s">
        <v>46</v>
      </c>
      <c r="E41" s="37" t="s">
        <v>0</v>
      </c>
      <c r="F41" s="22" t="s">
        <v>33</v>
      </c>
      <c r="G41" s="22" t="s">
        <v>41</v>
      </c>
      <c r="H41" s="29">
        <v>50</v>
      </c>
      <c r="I41" s="23">
        <f t="shared" si="3"/>
        <v>500</v>
      </c>
      <c r="J41" s="35">
        <f t="shared" si="5"/>
        <v>580</v>
      </c>
    </row>
    <row r="42" spans="2:10" ht="15.75" x14ac:dyDescent="0.25">
      <c r="B42" s="16">
        <v>34</v>
      </c>
      <c r="C42" s="25" t="s">
        <v>45</v>
      </c>
      <c r="D42" s="8" t="s">
        <v>47</v>
      </c>
      <c r="E42" s="37" t="s">
        <v>1</v>
      </c>
      <c r="F42" s="22" t="s">
        <v>33</v>
      </c>
      <c r="G42" s="22" t="s">
        <v>41</v>
      </c>
      <c r="H42" s="29">
        <v>50</v>
      </c>
      <c r="I42" s="23">
        <f t="shared" si="3"/>
        <v>500</v>
      </c>
      <c r="J42" s="35">
        <f t="shared" si="5"/>
        <v>580</v>
      </c>
    </row>
    <row r="43" spans="2:10" ht="15.75" x14ac:dyDescent="0.25">
      <c r="B43" s="16">
        <v>35</v>
      </c>
      <c r="C43" s="25" t="s">
        <v>45</v>
      </c>
      <c r="D43" s="8" t="s">
        <v>46</v>
      </c>
      <c r="E43" s="37" t="s">
        <v>2</v>
      </c>
      <c r="F43" s="22" t="s">
        <v>33</v>
      </c>
      <c r="G43" s="22" t="s">
        <v>41</v>
      </c>
      <c r="H43" s="29">
        <v>50</v>
      </c>
      <c r="I43" s="23">
        <f t="shared" si="3"/>
        <v>500</v>
      </c>
      <c r="J43" s="35">
        <f t="shared" si="5"/>
        <v>580</v>
      </c>
    </row>
    <row r="44" spans="2:10" ht="15.75" x14ac:dyDescent="0.25">
      <c r="B44" s="16">
        <v>36</v>
      </c>
      <c r="C44" s="25" t="s">
        <v>45</v>
      </c>
      <c r="D44" s="8" t="s">
        <v>46</v>
      </c>
      <c r="E44" s="37" t="s">
        <v>3</v>
      </c>
      <c r="F44" s="22" t="s">
        <v>33</v>
      </c>
      <c r="G44" s="22" t="s">
        <v>41</v>
      </c>
      <c r="H44" s="29">
        <v>50</v>
      </c>
      <c r="I44" s="23">
        <f t="shared" si="3"/>
        <v>500</v>
      </c>
      <c r="J44" s="35">
        <f t="shared" si="5"/>
        <v>580</v>
      </c>
    </row>
    <row r="45" spans="2:10" ht="15.75" x14ac:dyDescent="0.25">
      <c r="B45" s="16">
        <v>37</v>
      </c>
      <c r="C45" s="25">
        <v>3371</v>
      </c>
      <c r="D45" s="8" t="s">
        <v>21</v>
      </c>
      <c r="E45" s="6" t="s">
        <v>0</v>
      </c>
      <c r="F45" s="22" t="s">
        <v>16</v>
      </c>
      <c r="G45" s="22" t="s">
        <v>17</v>
      </c>
      <c r="H45" s="45">
        <v>35.9</v>
      </c>
      <c r="I45" s="23">
        <f t="shared" si="0"/>
        <v>430.79999999999995</v>
      </c>
      <c r="J45" s="35">
        <f t="shared" si="1"/>
        <v>499.72799999999989</v>
      </c>
    </row>
    <row r="46" spans="2:10" ht="15.75" x14ac:dyDescent="0.25">
      <c r="B46" s="16">
        <v>38</v>
      </c>
      <c r="C46" s="25">
        <v>3372</v>
      </c>
      <c r="D46" s="8" t="s">
        <v>21</v>
      </c>
      <c r="E46" s="6" t="s">
        <v>1</v>
      </c>
      <c r="F46" s="22" t="s">
        <v>16</v>
      </c>
      <c r="G46" s="22" t="s">
        <v>17</v>
      </c>
      <c r="H46" s="45">
        <v>35.9</v>
      </c>
      <c r="I46" s="23">
        <f t="shared" si="0"/>
        <v>430.79999999999995</v>
      </c>
      <c r="J46" s="35">
        <f t="shared" si="1"/>
        <v>499.72799999999989</v>
      </c>
    </row>
    <row r="47" spans="2:10" ht="15.75" x14ac:dyDescent="0.25">
      <c r="B47" s="16">
        <v>39</v>
      </c>
      <c r="C47" s="25">
        <v>3373</v>
      </c>
      <c r="D47" s="8" t="s">
        <v>21</v>
      </c>
      <c r="E47" s="6" t="s">
        <v>2</v>
      </c>
      <c r="F47" s="22" t="s">
        <v>16</v>
      </c>
      <c r="G47" s="22" t="s">
        <v>17</v>
      </c>
      <c r="H47" s="45">
        <v>35.9</v>
      </c>
      <c r="I47" s="23">
        <f t="shared" si="0"/>
        <v>430.79999999999995</v>
      </c>
      <c r="J47" s="35">
        <f t="shared" si="1"/>
        <v>499.72799999999989</v>
      </c>
    </row>
    <row r="48" spans="2:10" ht="15.75" x14ac:dyDescent="0.25">
      <c r="B48" s="16">
        <v>40</v>
      </c>
      <c r="C48" s="25">
        <v>3374</v>
      </c>
      <c r="D48" s="8" t="s">
        <v>21</v>
      </c>
      <c r="E48" s="17" t="s">
        <v>3</v>
      </c>
      <c r="F48" s="22" t="s">
        <v>16</v>
      </c>
      <c r="G48" s="22" t="s">
        <v>17</v>
      </c>
      <c r="H48" s="45">
        <v>35.9</v>
      </c>
      <c r="I48" s="23">
        <f t="shared" si="0"/>
        <v>430.79999999999995</v>
      </c>
      <c r="J48" s="35">
        <f t="shared" si="1"/>
        <v>499.72799999999989</v>
      </c>
    </row>
    <row r="49" spans="2:10" ht="15.75" x14ac:dyDescent="0.25">
      <c r="B49" s="16">
        <v>41</v>
      </c>
      <c r="C49" s="25">
        <v>3381</v>
      </c>
      <c r="D49" s="8" t="s">
        <v>22</v>
      </c>
      <c r="E49" s="17" t="s">
        <v>0</v>
      </c>
      <c r="F49" s="22" t="s">
        <v>16</v>
      </c>
      <c r="G49" s="22" t="s">
        <v>17</v>
      </c>
      <c r="H49" s="45">
        <v>35.9</v>
      </c>
      <c r="I49" s="23">
        <f t="shared" si="0"/>
        <v>430.79999999999995</v>
      </c>
      <c r="J49" s="35">
        <f t="shared" si="1"/>
        <v>499.72799999999989</v>
      </c>
    </row>
    <row r="50" spans="2:10" ht="15.75" x14ac:dyDescent="0.25">
      <c r="B50" s="16">
        <v>42</v>
      </c>
      <c r="C50" s="25">
        <v>3382</v>
      </c>
      <c r="D50" s="8" t="s">
        <v>22</v>
      </c>
      <c r="E50" s="18" t="s">
        <v>1</v>
      </c>
      <c r="F50" s="22" t="s">
        <v>16</v>
      </c>
      <c r="G50" s="22" t="s">
        <v>17</v>
      </c>
      <c r="H50" s="45">
        <v>35.9</v>
      </c>
      <c r="I50" s="23">
        <f t="shared" si="0"/>
        <v>430.79999999999995</v>
      </c>
      <c r="J50" s="35">
        <f t="shared" si="1"/>
        <v>499.72799999999989</v>
      </c>
    </row>
    <row r="51" spans="2:10" ht="15.75" x14ac:dyDescent="0.25">
      <c r="B51" s="16">
        <v>43</v>
      </c>
      <c r="C51" s="25">
        <v>3383</v>
      </c>
      <c r="D51" s="8" t="s">
        <v>22</v>
      </c>
      <c r="E51" s="17" t="s">
        <v>2</v>
      </c>
      <c r="F51" s="22" t="s">
        <v>16</v>
      </c>
      <c r="G51" s="22" t="s">
        <v>17</v>
      </c>
      <c r="H51" s="45">
        <v>35.9</v>
      </c>
      <c r="I51" s="23">
        <f t="shared" si="0"/>
        <v>430.79999999999995</v>
      </c>
      <c r="J51" s="35">
        <f t="shared" si="1"/>
        <v>499.72799999999989</v>
      </c>
    </row>
    <row r="52" spans="2:10" ht="15.75" x14ac:dyDescent="0.25">
      <c r="B52" s="16">
        <v>44</v>
      </c>
      <c r="C52" s="25">
        <v>3384</v>
      </c>
      <c r="D52" s="8" t="s">
        <v>22</v>
      </c>
      <c r="E52" s="17" t="s">
        <v>3</v>
      </c>
      <c r="F52" s="22" t="s">
        <v>16</v>
      </c>
      <c r="G52" s="22" t="s">
        <v>17</v>
      </c>
      <c r="H52" s="45">
        <v>35.9</v>
      </c>
      <c r="I52" s="23">
        <f t="shared" si="0"/>
        <v>430.79999999999995</v>
      </c>
      <c r="J52" s="35">
        <f t="shared" si="1"/>
        <v>499.72799999999989</v>
      </c>
    </row>
    <row r="53" spans="2:10" ht="15.75" x14ac:dyDescent="0.25">
      <c r="B53" s="16">
        <v>45</v>
      </c>
      <c r="C53" s="25">
        <v>701</v>
      </c>
      <c r="D53" s="8" t="s">
        <v>23</v>
      </c>
      <c r="E53" s="17" t="s">
        <v>0</v>
      </c>
      <c r="F53" s="22" t="s">
        <v>16</v>
      </c>
      <c r="G53" s="22" t="s">
        <v>17</v>
      </c>
      <c r="H53" s="29">
        <v>33</v>
      </c>
      <c r="I53" s="23">
        <f t="shared" si="0"/>
        <v>396</v>
      </c>
      <c r="J53" s="35">
        <f t="shared" si="1"/>
        <v>459.35999999999996</v>
      </c>
    </row>
    <row r="54" spans="2:10" ht="15.75" x14ac:dyDescent="0.25">
      <c r="B54" s="16">
        <v>46</v>
      </c>
      <c r="C54" s="25">
        <v>702</v>
      </c>
      <c r="D54" s="8" t="s">
        <v>23</v>
      </c>
      <c r="E54" s="17" t="s">
        <v>1</v>
      </c>
      <c r="F54" s="22" t="s">
        <v>16</v>
      </c>
      <c r="G54" s="22" t="s">
        <v>17</v>
      </c>
      <c r="H54" s="29">
        <v>33</v>
      </c>
      <c r="I54" s="23">
        <f t="shared" si="0"/>
        <v>396</v>
      </c>
      <c r="J54" s="35">
        <f t="shared" si="1"/>
        <v>459.35999999999996</v>
      </c>
    </row>
    <row r="55" spans="2:10" ht="15.75" x14ac:dyDescent="0.25">
      <c r="B55" s="16">
        <v>47</v>
      </c>
      <c r="C55" s="25">
        <v>703</v>
      </c>
      <c r="D55" s="8" t="s">
        <v>23</v>
      </c>
      <c r="E55" s="17" t="s">
        <v>2</v>
      </c>
      <c r="F55" s="22" t="s">
        <v>16</v>
      </c>
      <c r="G55" s="22" t="s">
        <v>17</v>
      </c>
      <c r="H55" s="29">
        <v>33</v>
      </c>
      <c r="I55" s="23">
        <f t="shared" si="0"/>
        <v>396</v>
      </c>
      <c r="J55" s="35">
        <f t="shared" si="1"/>
        <v>459.35999999999996</v>
      </c>
    </row>
    <row r="56" spans="2:10" ht="15.75" x14ac:dyDescent="0.25">
      <c r="B56" s="16">
        <v>48</v>
      </c>
      <c r="C56" s="25">
        <v>704</v>
      </c>
      <c r="D56" s="8" t="s">
        <v>23</v>
      </c>
      <c r="E56" s="17" t="s">
        <v>3</v>
      </c>
      <c r="F56" s="22" t="s">
        <v>16</v>
      </c>
      <c r="G56" s="22" t="s">
        <v>17</v>
      </c>
      <c r="H56" s="29">
        <v>33</v>
      </c>
      <c r="I56" s="23">
        <f t="shared" si="0"/>
        <v>396</v>
      </c>
      <c r="J56" s="35">
        <f t="shared" si="1"/>
        <v>459.35999999999996</v>
      </c>
    </row>
    <row r="57" spans="2:10" ht="15.75" x14ac:dyDescent="0.25">
      <c r="B57" s="16">
        <v>49</v>
      </c>
      <c r="C57" s="36">
        <v>701</v>
      </c>
      <c r="D57" s="8" t="s">
        <v>37</v>
      </c>
      <c r="E57" s="38" t="s">
        <v>0</v>
      </c>
      <c r="F57" s="22" t="s">
        <v>16</v>
      </c>
      <c r="G57" s="22" t="s">
        <v>17</v>
      </c>
      <c r="H57" s="29">
        <v>33</v>
      </c>
      <c r="I57" s="23">
        <f t="shared" si="0"/>
        <v>396</v>
      </c>
      <c r="J57" s="35">
        <f t="shared" si="1"/>
        <v>459.35999999999996</v>
      </c>
    </row>
    <row r="58" spans="2:10" ht="15.75" x14ac:dyDescent="0.25">
      <c r="B58" s="16">
        <v>50</v>
      </c>
      <c r="C58" s="36">
        <v>702</v>
      </c>
      <c r="D58" s="8" t="s">
        <v>37</v>
      </c>
      <c r="E58" s="38" t="s">
        <v>1</v>
      </c>
      <c r="F58" s="22" t="s">
        <v>16</v>
      </c>
      <c r="G58" s="22" t="s">
        <v>17</v>
      </c>
      <c r="H58" s="29">
        <v>33</v>
      </c>
      <c r="I58" s="23">
        <f t="shared" si="0"/>
        <v>396</v>
      </c>
      <c r="J58" s="35">
        <f t="shared" si="1"/>
        <v>459.35999999999996</v>
      </c>
    </row>
    <row r="59" spans="2:10" ht="15.75" x14ac:dyDescent="0.25">
      <c r="B59" s="16">
        <v>51</v>
      </c>
      <c r="C59" s="36">
        <v>703</v>
      </c>
      <c r="D59" s="8" t="s">
        <v>37</v>
      </c>
      <c r="E59" s="38" t="s">
        <v>2</v>
      </c>
      <c r="F59" s="22" t="s">
        <v>16</v>
      </c>
      <c r="G59" s="22" t="s">
        <v>17</v>
      </c>
      <c r="H59" s="29">
        <v>33</v>
      </c>
      <c r="I59" s="23">
        <f t="shared" si="0"/>
        <v>396</v>
      </c>
      <c r="J59" s="35">
        <f t="shared" si="1"/>
        <v>459.35999999999996</v>
      </c>
    </row>
    <row r="60" spans="2:10" ht="15.75" x14ac:dyDescent="0.25">
      <c r="B60" s="16">
        <v>52</v>
      </c>
      <c r="C60" s="36">
        <v>704</v>
      </c>
      <c r="D60" s="8" t="s">
        <v>37</v>
      </c>
      <c r="E60" s="38" t="s">
        <v>3</v>
      </c>
      <c r="F60" s="22" t="s">
        <v>16</v>
      </c>
      <c r="G60" s="22" t="s">
        <v>17</v>
      </c>
      <c r="H60" s="29">
        <v>33</v>
      </c>
      <c r="I60" s="23">
        <f t="shared" si="0"/>
        <v>396</v>
      </c>
      <c r="J60" s="35">
        <f t="shared" si="1"/>
        <v>459.35999999999996</v>
      </c>
    </row>
    <row r="61" spans="2:10" ht="15.75" x14ac:dyDescent="0.25">
      <c r="B61" s="16">
        <v>53</v>
      </c>
      <c r="C61" s="25">
        <v>421</v>
      </c>
      <c r="D61" s="8" t="s">
        <v>19</v>
      </c>
      <c r="E61" s="17" t="s">
        <v>4</v>
      </c>
      <c r="F61" s="22" t="s">
        <v>16</v>
      </c>
      <c r="G61" s="22" t="s">
        <v>17</v>
      </c>
      <c r="H61" s="45">
        <v>30.2</v>
      </c>
      <c r="I61" s="23">
        <f t="shared" si="0"/>
        <v>362.4</v>
      </c>
      <c r="J61" s="35">
        <f t="shared" si="1"/>
        <v>420.38399999999996</v>
      </c>
    </row>
    <row r="62" spans="2:10" ht="15.75" x14ac:dyDescent="0.25">
      <c r="B62" s="16">
        <v>54</v>
      </c>
      <c r="C62" s="25">
        <v>422</v>
      </c>
      <c r="D62" s="8" t="s">
        <v>19</v>
      </c>
      <c r="E62" s="17" t="s">
        <v>3</v>
      </c>
      <c r="F62" s="22" t="s">
        <v>16</v>
      </c>
      <c r="G62" s="22" t="s">
        <v>17</v>
      </c>
      <c r="H62" s="45">
        <v>30.2</v>
      </c>
      <c r="I62" s="23">
        <f t="shared" si="0"/>
        <v>362.4</v>
      </c>
      <c r="J62" s="35">
        <f t="shared" si="1"/>
        <v>420.38399999999996</v>
      </c>
    </row>
    <row r="63" spans="2:10" ht="15.75" x14ac:dyDescent="0.25">
      <c r="B63" s="16">
        <v>55</v>
      </c>
      <c r="C63" s="25">
        <v>423</v>
      </c>
      <c r="D63" s="8" t="s">
        <v>19</v>
      </c>
      <c r="E63" s="17" t="s">
        <v>5</v>
      </c>
      <c r="F63" s="22" t="s">
        <v>16</v>
      </c>
      <c r="G63" s="22" t="s">
        <v>17</v>
      </c>
      <c r="H63" s="45">
        <v>30.2</v>
      </c>
      <c r="I63" s="23">
        <f t="shared" si="0"/>
        <v>362.4</v>
      </c>
      <c r="J63" s="35">
        <f t="shared" si="1"/>
        <v>420.38399999999996</v>
      </c>
    </row>
    <row r="64" spans="2:10" ht="15.75" x14ac:dyDescent="0.25">
      <c r="B64" s="16">
        <v>56</v>
      </c>
      <c r="C64" s="25">
        <v>424</v>
      </c>
      <c r="D64" s="8" t="s">
        <v>19</v>
      </c>
      <c r="E64" s="17" t="s">
        <v>6</v>
      </c>
      <c r="F64" s="22" t="s">
        <v>16</v>
      </c>
      <c r="G64" s="22" t="s">
        <v>17</v>
      </c>
      <c r="H64" s="45">
        <v>30.2</v>
      </c>
      <c r="I64" s="23">
        <f t="shared" si="0"/>
        <v>362.4</v>
      </c>
      <c r="J64" s="35">
        <f t="shared" si="1"/>
        <v>420.38399999999996</v>
      </c>
    </row>
    <row r="65" spans="2:13" ht="15.75" x14ac:dyDescent="0.25">
      <c r="B65" s="16">
        <v>57</v>
      </c>
      <c r="C65" s="25">
        <v>425</v>
      </c>
      <c r="D65" s="8" t="s">
        <v>19</v>
      </c>
      <c r="E65" s="17" t="s">
        <v>1</v>
      </c>
      <c r="F65" s="22" t="s">
        <v>16</v>
      </c>
      <c r="G65" s="22" t="s">
        <v>17</v>
      </c>
      <c r="H65" s="45">
        <v>30.2</v>
      </c>
      <c r="I65" s="23">
        <f t="shared" ref="I65" si="6">H65*12</f>
        <v>362.4</v>
      </c>
      <c r="J65" s="35">
        <f t="shared" ref="J65" si="7">I65*1.16</f>
        <v>420.38399999999996</v>
      </c>
    </row>
    <row r="66" spans="2:13" ht="15.75" x14ac:dyDescent="0.25">
      <c r="B66" s="16">
        <v>58</v>
      </c>
      <c r="C66" s="25">
        <v>4011</v>
      </c>
      <c r="D66" s="8" t="s">
        <v>20</v>
      </c>
      <c r="E66" s="17" t="s">
        <v>4</v>
      </c>
      <c r="F66" s="22" t="s">
        <v>16</v>
      </c>
      <c r="G66" s="22" t="s">
        <v>17</v>
      </c>
      <c r="H66" s="45">
        <v>33.4</v>
      </c>
      <c r="I66" s="23">
        <f t="shared" si="0"/>
        <v>400.79999999999995</v>
      </c>
      <c r="J66" s="35">
        <f t="shared" si="1"/>
        <v>464.92799999999994</v>
      </c>
    </row>
    <row r="67" spans="2:13" ht="15.75" x14ac:dyDescent="0.25">
      <c r="B67" s="16">
        <v>59</v>
      </c>
      <c r="C67" s="25">
        <v>4012</v>
      </c>
      <c r="D67" s="8" t="s">
        <v>20</v>
      </c>
      <c r="E67" s="17" t="s">
        <v>3</v>
      </c>
      <c r="F67" s="22" t="s">
        <v>16</v>
      </c>
      <c r="G67" s="22" t="s">
        <v>17</v>
      </c>
      <c r="H67" s="45">
        <v>33.4</v>
      </c>
      <c r="I67" s="23">
        <f t="shared" si="0"/>
        <v>400.79999999999995</v>
      </c>
      <c r="J67" s="35">
        <f t="shared" si="1"/>
        <v>464.92799999999994</v>
      </c>
      <c r="M67" s="39"/>
    </row>
    <row r="68" spans="2:13" ht="15.75" x14ac:dyDescent="0.25">
      <c r="B68" s="16">
        <v>60</v>
      </c>
      <c r="C68" s="25">
        <v>4013</v>
      </c>
      <c r="D68" s="8" t="s">
        <v>20</v>
      </c>
      <c r="E68" s="17" t="s">
        <v>5</v>
      </c>
      <c r="F68" s="22" t="s">
        <v>16</v>
      </c>
      <c r="G68" s="22" t="s">
        <v>17</v>
      </c>
      <c r="H68" s="45">
        <v>33.4</v>
      </c>
      <c r="I68" s="23">
        <f>H68*12</f>
        <v>400.79999999999995</v>
      </c>
      <c r="J68" s="35">
        <f>I68*1.16</f>
        <v>464.92799999999994</v>
      </c>
    </row>
    <row r="69" spans="2:13" ht="15.75" x14ac:dyDescent="0.25">
      <c r="B69" s="16">
        <v>61</v>
      </c>
      <c r="C69" s="25">
        <v>4014</v>
      </c>
      <c r="D69" s="8" t="s">
        <v>20</v>
      </c>
      <c r="E69" s="17" t="s">
        <v>6</v>
      </c>
      <c r="F69" s="22" t="s">
        <v>16</v>
      </c>
      <c r="G69" s="22" t="s">
        <v>17</v>
      </c>
      <c r="H69" s="45">
        <v>33.4</v>
      </c>
      <c r="I69" s="23">
        <f t="shared" si="0"/>
        <v>400.79999999999995</v>
      </c>
      <c r="J69" s="35">
        <f t="shared" si="1"/>
        <v>464.92799999999994</v>
      </c>
    </row>
    <row r="70" spans="2:13" ht="15.75" x14ac:dyDescent="0.25">
      <c r="B70" s="16">
        <v>62</v>
      </c>
      <c r="C70" s="25">
        <v>4015</v>
      </c>
      <c r="D70" s="8" t="s">
        <v>20</v>
      </c>
      <c r="E70" s="17" t="s">
        <v>1</v>
      </c>
      <c r="F70" s="22" t="s">
        <v>16</v>
      </c>
      <c r="G70" s="22" t="s">
        <v>17</v>
      </c>
      <c r="H70" s="45">
        <v>33.4</v>
      </c>
      <c r="I70" s="23">
        <f t="shared" si="0"/>
        <v>400.79999999999995</v>
      </c>
      <c r="J70" s="35">
        <f t="shared" si="1"/>
        <v>464.92799999999994</v>
      </c>
    </row>
    <row r="71" spans="2:13" ht="15.75" x14ac:dyDescent="0.25">
      <c r="B71" s="16">
        <v>63</v>
      </c>
      <c r="C71" s="31">
        <v>4017</v>
      </c>
      <c r="D71" s="30" t="s">
        <v>20</v>
      </c>
      <c r="E71" s="19" t="s">
        <v>7</v>
      </c>
      <c r="F71" s="22" t="s">
        <v>16</v>
      </c>
      <c r="G71" s="22" t="s">
        <v>17</v>
      </c>
      <c r="H71" s="45">
        <v>33.4</v>
      </c>
      <c r="I71" s="23">
        <v>396</v>
      </c>
      <c r="J71" s="35">
        <v>459.35999999999996</v>
      </c>
    </row>
    <row r="72" spans="2:13" ht="15.75" x14ac:dyDescent="0.25">
      <c r="B72" s="16">
        <v>64</v>
      </c>
      <c r="C72" s="31">
        <v>4001</v>
      </c>
      <c r="D72" s="30" t="s">
        <v>26</v>
      </c>
      <c r="E72" s="19" t="s">
        <v>4</v>
      </c>
      <c r="F72" s="22" t="s">
        <v>16</v>
      </c>
      <c r="G72" s="22" t="s">
        <v>38</v>
      </c>
      <c r="H72" s="32">
        <v>17.260000000000002</v>
      </c>
      <c r="I72" s="23">
        <f>H72*12</f>
        <v>207.12</v>
      </c>
      <c r="J72" s="35">
        <f>I72*1.16</f>
        <v>240.25919999999999</v>
      </c>
    </row>
    <row r="73" spans="2:13" ht="15.75" x14ac:dyDescent="0.25">
      <c r="B73" s="16">
        <v>65</v>
      </c>
      <c r="C73" s="31">
        <v>4002</v>
      </c>
      <c r="D73" s="30" t="s">
        <v>26</v>
      </c>
      <c r="E73" s="19" t="s">
        <v>3</v>
      </c>
      <c r="F73" s="22" t="s">
        <v>16</v>
      </c>
      <c r="G73" s="22" t="s">
        <v>38</v>
      </c>
      <c r="H73" s="32">
        <v>17.260000000000002</v>
      </c>
      <c r="I73" s="23">
        <f t="shared" ref="I73:I76" si="8">H73*12</f>
        <v>207.12</v>
      </c>
      <c r="J73" s="35">
        <f t="shared" ref="J73:J76" si="9">I73*1.16</f>
        <v>240.25919999999999</v>
      </c>
    </row>
    <row r="74" spans="2:13" ht="15.75" x14ac:dyDescent="0.25">
      <c r="B74" s="16">
        <v>66</v>
      </c>
      <c r="C74" s="31">
        <v>4003</v>
      </c>
      <c r="D74" s="30" t="s">
        <v>26</v>
      </c>
      <c r="E74" s="19" t="s">
        <v>5</v>
      </c>
      <c r="F74" s="22" t="s">
        <v>16</v>
      </c>
      <c r="G74" s="22" t="s">
        <v>38</v>
      </c>
      <c r="H74" s="32">
        <v>17.260000000000002</v>
      </c>
      <c r="I74" s="23">
        <f t="shared" si="8"/>
        <v>207.12</v>
      </c>
      <c r="J74" s="35">
        <f t="shared" si="9"/>
        <v>240.25919999999999</v>
      </c>
    </row>
    <row r="75" spans="2:13" ht="15.75" x14ac:dyDescent="0.25">
      <c r="B75" s="16">
        <v>67</v>
      </c>
      <c r="C75" s="31">
        <v>4004</v>
      </c>
      <c r="D75" s="30" t="s">
        <v>26</v>
      </c>
      <c r="E75" s="19" t="s">
        <v>6</v>
      </c>
      <c r="F75" s="22" t="s">
        <v>16</v>
      </c>
      <c r="G75" s="22" t="s">
        <v>38</v>
      </c>
      <c r="H75" s="32">
        <v>17.260000000000002</v>
      </c>
      <c r="I75" s="23">
        <f t="shared" si="8"/>
        <v>207.12</v>
      </c>
      <c r="J75" s="35">
        <f t="shared" si="9"/>
        <v>240.25919999999999</v>
      </c>
    </row>
    <row r="76" spans="2:13" ht="15.75" x14ac:dyDescent="0.25">
      <c r="B76" s="16">
        <v>68</v>
      </c>
      <c r="C76" s="31">
        <v>4005</v>
      </c>
      <c r="D76" s="30" t="s">
        <v>26</v>
      </c>
      <c r="E76" s="19" t="s">
        <v>1</v>
      </c>
      <c r="F76" s="22" t="s">
        <v>16</v>
      </c>
      <c r="G76" s="22" t="s">
        <v>38</v>
      </c>
      <c r="H76" s="32">
        <v>17.260000000000002</v>
      </c>
      <c r="I76" s="23">
        <f t="shared" si="8"/>
        <v>207.12</v>
      </c>
      <c r="J76" s="35">
        <f t="shared" si="9"/>
        <v>240.25919999999999</v>
      </c>
    </row>
    <row r="77" spans="2:13" ht="15.75" x14ac:dyDescent="0.25">
      <c r="B77" s="16">
        <v>69</v>
      </c>
      <c r="C77" s="31">
        <v>986</v>
      </c>
      <c r="D77" s="30" t="s">
        <v>27</v>
      </c>
      <c r="E77" s="19" t="s">
        <v>0</v>
      </c>
      <c r="F77" s="22" t="s">
        <v>33</v>
      </c>
      <c r="G77" s="22" t="s">
        <v>67</v>
      </c>
      <c r="H77" s="32">
        <v>60.32</v>
      </c>
      <c r="I77" s="23">
        <f>H77*10</f>
        <v>603.20000000000005</v>
      </c>
      <c r="J77" s="35">
        <f>I77*1.16</f>
        <v>699.71199999999999</v>
      </c>
    </row>
    <row r="78" spans="2:13" ht="15.75" x14ac:dyDescent="0.25">
      <c r="B78" s="16">
        <v>70</v>
      </c>
      <c r="C78" s="31">
        <v>986</v>
      </c>
      <c r="D78" s="30" t="s">
        <v>27</v>
      </c>
      <c r="E78" s="19" t="s">
        <v>1</v>
      </c>
      <c r="F78" s="22" t="s">
        <v>33</v>
      </c>
      <c r="G78" s="22" t="s">
        <v>67</v>
      </c>
      <c r="H78" s="32">
        <v>60.32</v>
      </c>
      <c r="I78" s="23">
        <f t="shared" ref="I78:I84" si="10">H78*10</f>
        <v>603.20000000000005</v>
      </c>
      <c r="J78" s="35">
        <f t="shared" ref="J78:J84" si="11">I78*1.16</f>
        <v>699.71199999999999</v>
      </c>
    </row>
    <row r="79" spans="2:13" ht="15.75" x14ac:dyDescent="0.25">
      <c r="B79" s="16">
        <v>71</v>
      </c>
      <c r="C79" s="31">
        <v>986</v>
      </c>
      <c r="D79" s="30" t="s">
        <v>27</v>
      </c>
      <c r="E79" s="19" t="s">
        <v>2</v>
      </c>
      <c r="F79" s="22" t="s">
        <v>33</v>
      </c>
      <c r="G79" s="22" t="s">
        <v>67</v>
      </c>
      <c r="H79" s="32">
        <v>60.32</v>
      </c>
      <c r="I79" s="23">
        <f t="shared" si="10"/>
        <v>603.20000000000005</v>
      </c>
      <c r="J79" s="35">
        <f t="shared" si="11"/>
        <v>699.71199999999999</v>
      </c>
    </row>
    <row r="80" spans="2:13" ht="15.75" x14ac:dyDescent="0.25">
      <c r="B80" s="16">
        <v>72</v>
      </c>
      <c r="C80" s="31">
        <v>986</v>
      </c>
      <c r="D80" s="30" t="s">
        <v>27</v>
      </c>
      <c r="E80" s="19" t="s">
        <v>3</v>
      </c>
      <c r="F80" s="22" t="s">
        <v>33</v>
      </c>
      <c r="G80" s="22" t="s">
        <v>67</v>
      </c>
      <c r="H80" s="32">
        <v>60.32</v>
      </c>
      <c r="I80" s="23">
        <f>H80*10</f>
        <v>603.20000000000005</v>
      </c>
      <c r="J80" s="35">
        <f t="shared" si="11"/>
        <v>699.71199999999999</v>
      </c>
    </row>
    <row r="81" spans="2:13" ht="15.75" x14ac:dyDescent="0.25">
      <c r="B81" s="16">
        <v>73</v>
      </c>
      <c r="C81" s="31">
        <v>985</v>
      </c>
      <c r="D81" s="30" t="s">
        <v>28</v>
      </c>
      <c r="E81" s="19" t="s">
        <v>0</v>
      </c>
      <c r="F81" s="22" t="s">
        <v>33</v>
      </c>
      <c r="G81" s="22" t="s">
        <v>67</v>
      </c>
      <c r="H81" s="32">
        <v>60.32</v>
      </c>
      <c r="I81" s="23">
        <f t="shared" si="10"/>
        <v>603.20000000000005</v>
      </c>
      <c r="J81" s="35">
        <f t="shared" si="11"/>
        <v>699.71199999999999</v>
      </c>
    </row>
    <row r="82" spans="2:13" ht="15.75" x14ac:dyDescent="0.25">
      <c r="B82" s="16">
        <v>74</v>
      </c>
      <c r="C82" s="31">
        <v>985</v>
      </c>
      <c r="D82" s="30" t="s">
        <v>28</v>
      </c>
      <c r="E82" s="48" t="s">
        <v>1</v>
      </c>
      <c r="F82" s="22" t="s">
        <v>33</v>
      </c>
      <c r="G82" s="22" t="s">
        <v>67</v>
      </c>
      <c r="H82" s="32">
        <v>60.32</v>
      </c>
      <c r="I82" s="23">
        <f t="shared" si="10"/>
        <v>603.20000000000005</v>
      </c>
      <c r="J82" s="35">
        <f t="shared" si="11"/>
        <v>699.71199999999999</v>
      </c>
    </row>
    <row r="83" spans="2:13" ht="15.75" x14ac:dyDescent="0.25">
      <c r="B83" s="16">
        <v>75</v>
      </c>
      <c r="C83" s="31">
        <v>985</v>
      </c>
      <c r="D83" s="30" t="s">
        <v>28</v>
      </c>
      <c r="E83" s="48" t="s">
        <v>2</v>
      </c>
      <c r="F83" s="22" t="s">
        <v>33</v>
      </c>
      <c r="G83" s="22" t="s">
        <v>67</v>
      </c>
      <c r="H83" s="32">
        <v>60.32</v>
      </c>
      <c r="I83" s="23">
        <f t="shared" si="10"/>
        <v>603.20000000000005</v>
      </c>
      <c r="J83" s="35">
        <f t="shared" si="11"/>
        <v>699.71199999999999</v>
      </c>
    </row>
    <row r="84" spans="2:13" ht="15.75" x14ac:dyDescent="0.25">
      <c r="B84" s="16">
        <v>76</v>
      </c>
      <c r="C84" s="31">
        <v>985</v>
      </c>
      <c r="D84" s="30" t="s">
        <v>28</v>
      </c>
      <c r="E84" s="48" t="s">
        <v>3</v>
      </c>
      <c r="F84" s="22" t="s">
        <v>33</v>
      </c>
      <c r="G84" s="22" t="s">
        <v>67</v>
      </c>
      <c r="H84" s="32">
        <v>60.32</v>
      </c>
      <c r="I84" s="23">
        <f t="shared" si="10"/>
        <v>603.20000000000005</v>
      </c>
      <c r="J84" s="35">
        <f t="shared" si="11"/>
        <v>699.71199999999999</v>
      </c>
    </row>
    <row r="85" spans="2:13" ht="15.75" x14ac:dyDescent="0.25">
      <c r="B85" s="16">
        <v>77</v>
      </c>
      <c r="C85" s="31">
        <v>3501</v>
      </c>
      <c r="D85" s="30" t="s">
        <v>29</v>
      </c>
      <c r="E85" s="48" t="s">
        <v>0</v>
      </c>
      <c r="F85" s="22" t="s">
        <v>16</v>
      </c>
      <c r="G85" s="22" t="s">
        <v>38</v>
      </c>
      <c r="H85" s="29">
        <v>35</v>
      </c>
      <c r="I85" s="23">
        <f>H85*12</f>
        <v>420</v>
      </c>
      <c r="J85" s="35">
        <f>I85*1.16</f>
        <v>487.2</v>
      </c>
    </row>
    <row r="86" spans="2:13" ht="15.75" x14ac:dyDescent="0.25">
      <c r="B86" s="16">
        <v>78</v>
      </c>
      <c r="C86" s="31">
        <v>3502</v>
      </c>
      <c r="D86" s="30" t="s">
        <v>29</v>
      </c>
      <c r="E86" s="48" t="s">
        <v>1</v>
      </c>
      <c r="F86" s="22" t="s">
        <v>16</v>
      </c>
      <c r="G86" s="22" t="s">
        <v>38</v>
      </c>
      <c r="H86" s="29">
        <v>35</v>
      </c>
      <c r="I86" s="23">
        <f>H86*12</f>
        <v>420</v>
      </c>
      <c r="J86" s="35">
        <f>I86*1.16</f>
        <v>487.2</v>
      </c>
    </row>
    <row r="87" spans="2:13" ht="15.75" x14ac:dyDescent="0.25">
      <c r="B87" s="16">
        <v>79</v>
      </c>
      <c r="C87" s="40" t="s">
        <v>83</v>
      </c>
      <c r="D87" s="8" t="s">
        <v>80</v>
      </c>
      <c r="E87" s="49" t="s">
        <v>79</v>
      </c>
      <c r="F87" s="22" t="s">
        <v>81</v>
      </c>
      <c r="G87" s="22" t="s">
        <v>85</v>
      </c>
      <c r="H87" s="29"/>
      <c r="I87" s="23">
        <v>52</v>
      </c>
      <c r="J87" s="35">
        <f t="shared" ref="J87:J94" si="12">I87*1.16</f>
        <v>60.319999999999993</v>
      </c>
    </row>
    <row r="88" spans="2:13" ht="15.75" x14ac:dyDescent="0.25">
      <c r="B88" s="16">
        <v>80</v>
      </c>
      <c r="C88" s="40" t="s">
        <v>84</v>
      </c>
      <c r="D88" s="8" t="s">
        <v>80</v>
      </c>
      <c r="E88" s="49" t="s">
        <v>79</v>
      </c>
      <c r="F88" s="22" t="s">
        <v>82</v>
      </c>
      <c r="G88" s="22" t="s">
        <v>51</v>
      </c>
      <c r="H88" s="29"/>
      <c r="I88" s="23">
        <v>92</v>
      </c>
      <c r="J88" s="35">
        <f t="shared" si="12"/>
        <v>106.72</v>
      </c>
    </row>
    <row r="89" spans="2:13" ht="15.75" x14ac:dyDescent="0.25">
      <c r="B89" s="16">
        <v>81</v>
      </c>
      <c r="C89" s="40" t="s">
        <v>48</v>
      </c>
      <c r="D89" s="8" t="s">
        <v>49</v>
      </c>
      <c r="E89" s="49" t="s">
        <v>0</v>
      </c>
      <c r="F89" s="22" t="s">
        <v>50</v>
      </c>
      <c r="G89" s="22" t="s">
        <v>51</v>
      </c>
      <c r="H89" s="29"/>
      <c r="I89" s="23">
        <v>474</v>
      </c>
      <c r="J89" s="35">
        <f t="shared" si="12"/>
        <v>549.83999999999992</v>
      </c>
    </row>
    <row r="90" spans="2:13" ht="15.75" x14ac:dyDescent="0.25">
      <c r="B90" s="16">
        <v>82</v>
      </c>
      <c r="C90" s="40" t="s">
        <v>52</v>
      </c>
      <c r="D90" s="8" t="s">
        <v>49</v>
      </c>
      <c r="E90" s="49" t="s">
        <v>1</v>
      </c>
      <c r="F90" s="22" t="s">
        <v>50</v>
      </c>
      <c r="G90" s="22" t="s">
        <v>51</v>
      </c>
      <c r="H90" s="29"/>
      <c r="I90" s="23">
        <v>474</v>
      </c>
      <c r="J90" s="35">
        <f t="shared" si="12"/>
        <v>549.83999999999992</v>
      </c>
    </row>
    <row r="91" spans="2:13" ht="15.75" x14ac:dyDescent="0.25">
      <c r="B91" s="16">
        <v>83</v>
      </c>
      <c r="C91" s="40" t="s">
        <v>53</v>
      </c>
      <c r="D91" s="8" t="s">
        <v>49</v>
      </c>
      <c r="E91" s="49" t="s">
        <v>2</v>
      </c>
      <c r="F91" s="22" t="s">
        <v>50</v>
      </c>
      <c r="G91" s="22" t="s">
        <v>51</v>
      </c>
      <c r="H91" s="29"/>
      <c r="I91" s="23">
        <v>474</v>
      </c>
      <c r="J91" s="35">
        <f t="shared" si="12"/>
        <v>549.83999999999992</v>
      </c>
    </row>
    <row r="92" spans="2:13" ht="15.75" x14ac:dyDescent="0.25">
      <c r="B92" s="16">
        <v>84</v>
      </c>
      <c r="C92" s="40" t="s">
        <v>76</v>
      </c>
      <c r="D92" s="8" t="s">
        <v>49</v>
      </c>
      <c r="E92" s="49" t="s">
        <v>3</v>
      </c>
      <c r="F92" s="22" t="s">
        <v>50</v>
      </c>
      <c r="G92" s="22" t="s">
        <v>51</v>
      </c>
      <c r="H92" s="29"/>
      <c r="I92" s="23">
        <v>474</v>
      </c>
      <c r="J92" s="35">
        <f t="shared" si="12"/>
        <v>549.83999999999992</v>
      </c>
    </row>
    <row r="93" spans="2:13" ht="15.75" x14ac:dyDescent="0.25">
      <c r="B93" s="16">
        <v>85</v>
      </c>
      <c r="C93" s="40" t="s">
        <v>77</v>
      </c>
      <c r="D93" s="8" t="s">
        <v>49</v>
      </c>
      <c r="E93" s="49" t="s">
        <v>5</v>
      </c>
      <c r="F93" s="22" t="s">
        <v>50</v>
      </c>
      <c r="G93" s="22" t="s">
        <v>51</v>
      </c>
      <c r="H93" s="29"/>
      <c r="I93" s="23">
        <v>474</v>
      </c>
      <c r="J93" s="35">
        <f t="shared" si="12"/>
        <v>549.83999999999992</v>
      </c>
    </row>
    <row r="94" spans="2:13" ht="15.75" x14ac:dyDescent="0.25">
      <c r="B94" s="16">
        <v>86</v>
      </c>
      <c r="C94" s="40" t="s">
        <v>78</v>
      </c>
      <c r="D94" s="8" t="s">
        <v>49</v>
      </c>
      <c r="E94" s="49" t="s">
        <v>75</v>
      </c>
      <c r="F94" s="22" t="s">
        <v>50</v>
      </c>
      <c r="G94" s="22" t="s">
        <v>51</v>
      </c>
      <c r="H94" s="29"/>
      <c r="I94" s="23">
        <v>474</v>
      </c>
      <c r="J94" s="35">
        <f t="shared" si="12"/>
        <v>549.83999999999992</v>
      </c>
    </row>
    <row r="95" spans="2:13" ht="15.75" x14ac:dyDescent="0.25">
      <c r="B95" s="16">
        <v>87</v>
      </c>
      <c r="C95" s="31" t="s">
        <v>73</v>
      </c>
      <c r="D95" s="30" t="s">
        <v>54</v>
      </c>
      <c r="E95" s="48" t="s">
        <v>0</v>
      </c>
      <c r="F95" s="22" t="s">
        <v>39</v>
      </c>
      <c r="G95" s="22" t="s">
        <v>40</v>
      </c>
      <c r="H95" s="32">
        <v>11</v>
      </c>
      <c r="I95" s="23">
        <f>H95*50</f>
        <v>550</v>
      </c>
      <c r="J95" s="35">
        <f>I95*1.16</f>
        <v>638</v>
      </c>
      <c r="M95" s="44"/>
    </row>
    <row r="96" spans="2:13" ht="15.75" x14ac:dyDescent="0.25">
      <c r="B96" s="16">
        <v>88</v>
      </c>
      <c r="C96" s="31" t="s">
        <v>74</v>
      </c>
      <c r="D96" s="30" t="s">
        <v>54</v>
      </c>
      <c r="E96" s="48" t="s">
        <v>1</v>
      </c>
      <c r="F96" s="22" t="s">
        <v>39</v>
      </c>
      <c r="G96" s="22" t="s">
        <v>40</v>
      </c>
      <c r="H96" s="32">
        <v>11</v>
      </c>
      <c r="I96" s="23">
        <f>H96*50</f>
        <v>550</v>
      </c>
      <c r="J96" s="35">
        <f t="shared" ref="J95:J96" si="13">I96*1.16</f>
        <v>638</v>
      </c>
      <c r="M96" s="44"/>
    </row>
    <row r="97" spans="2:13" ht="15.75" x14ac:dyDescent="0.25">
      <c r="B97" s="16">
        <v>89</v>
      </c>
      <c r="C97" s="31" t="s">
        <v>59</v>
      </c>
      <c r="D97" s="30" t="s">
        <v>54</v>
      </c>
      <c r="E97" s="19" t="s">
        <v>0</v>
      </c>
      <c r="F97" s="22" t="s">
        <v>60</v>
      </c>
      <c r="G97" s="22" t="s">
        <v>61</v>
      </c>
      <c r="H97" s="32">
        <v>11</v>
      </c>
      <c r="I97" s="23">
        <f>H97*25</f>
        <v>275</v>
      </c>
      <c r="J97" s="35">
        <f t="shared" ref="J97:J105" si="14">I97*1.16</f>
        <v>319</v>
      </c>
      <c r="M97" s="44"/>
    </row>
    <row r="98" spans="2:13" ht="15.75" x14ac:dyDescent="0.25">
      <c r="B98" s="16">
        <v>90</v>
      </c>
      <c r="C98" s="31" t="s">
        <v>62</v>
      </c>
      <c r="D98" s="30" t="s">
        <v>54</v>
      </c>
      <c r="E98" s="19" t="s">
        <v>1</v>
      </c>
      <c r="F98" s="22" t="s">
        <v>60</v>
      </c>
      <c r="G98" s="22" t="s">
        <v>61</v>
      </c>
      <c r="H98" s="32">
        <v>11</v>
      </c>
      <c r="I98" s="23">
        <f>H98*25</f>
        <v>275</v>
      </c>
      <c r="J98" s="35">
        <f t="shared" si="14"/>
        <v>319</v>
      </c>
      <c r="M98" s="44"/>
    </row>
    <row r="99" spans="2:13" ht="15.75" hidden="1" x14ac:dyDescent="0.25">
      <c r="B99" s="16">
        <v>91</v>
      </c>
      <c r="C99" s="31" t="s">
        <v>63</v>
      </c>
      <c r="D99" s="30" t="s">
        <v>54</v>
      </c>
      <c r="E99" s="19" t="s">
        <v>2</v>
      </c>
      <c r="F99" s="22" t="s">
        <v>60</v>
      </c>
      <c r="G99" s="22" t="s">
        <v>61</v>
      </c>
      <c r="H99" s="32">
        <v>11</v>
      </c>
      <c r="I99" s="23">
        <f>H99*25</f>
        <v>275</v>
      </c>
      <c r="J99" s="35">
        <f t="shared" si="14"/>
        <v>319</v>
      </c>
      <c r="M99" s="44"/>
    </row>
    <row r="100" spans="2:13" ht="15.75" x14ac:dyDescent="0.25">
      <c r="B100" s="16">
        <v>92</v>
      </c>
      <c r="C100" s="31" t="s">
        <v>55</v>
      </c>
      <c r="D100" s="30" t="s">
        <v>30</v>
      </c>
      <c r="E100" s="19" t="s">
        <v>0</v>
      </c>
      <c r="F100" s="22" t="s">
        <v>39</v>
      </c>
      <c r="G100" s="22" t="s">
        <v>40</v>
      </c>
      <c r="H100" s="32">
        <v>13</v>
      </c>
      <c r="I100" s="23">
        <f>H100*50</f>
        <v>650</v>
      </c>
      <c r="J100" s="35">
        <f t="shared" si="14"/>
        <v>754</v>
      </c>
      <c r="M100" s="44"/>
    </row>
    <row r="101" spans="2:13" ht="15.75" x14ac:dyDescent="0.25">
      <c r="B101" s="16">
        <v>93</v>
      </c>
      <c r="C101" s="31" t="s">
        <v>56</v>
      </c>
      <c r="D101" s="30" t="s">
        <v>30</v>
      </c>
      <c r="E101" s="19" t="s">
        <v>1</v>
      </c>
      <c r="F101" s="22" t="s">
        <v>39</v>
      </c>
      <c r="G101" s="22" t="s">
        <v>40</v>
      </c>
      <c r="H101" s="32">
        <v>13</v>
      </c>
      <c r="I101" s="23">
        <f t="shared" ref="I101:I102" si="15">H101*50</f>
        <v>650</v>
      </c>
      <c r="J101" s="35">
        <f t="shared" si="14"/>
        <v>754</v>
      </c>
      <c r="M101" s="44"/>
    </row>
    <row r="102" spans="2:13" ht="15.75" hidden="1" x14ac:dyDescent="0.25">
      <c r="B102" s="16">
        <v>94</v>
      </c>
      <c r="C102" s="31" t="s">
        <v>57</v>
      </c>
      <c r="D102" s="30" t="s">
        <v>30</v>
      </c>
      <c r="E102" s="19" t="s">
        <v>2</v>
      </c>
      <c r="F102" s="22" t="s">
        <v>39</v>
      </c>
      <c r="G102" s="22" t="s">
        <v>40</v>
      </c>
      <c r="H102" s="32">
        <v>13</v>
      </c>
      <c r="I102" s="23">
        <f t="shared" si="15"/>
        <v>650</v>
      </c>
      <c r="J102" s="35">
        <f t="shared" si="14"/>
        <v>754</v>
      </c>
      <c r="M102" s="44"/>
    </row>
    <row r="103" spans="2:13" ht="15.75" x14ac:dyDescent="0.25">
      <c r="B103" s="16">
        <v>95</v>
      </c>
      <c r="C103" s="31" t="s">
        <v>64</v>
      </c>
      <c r="D103" s="30" t="s">
        <v>30</v>
      </c>
      <c r="E103" s="19" t="s">
        <v>0</v>
      </c>
      <c r="F103" s="22" t="s">
        <v>60</v>
      </c>
      <c r="G103" s="22" t="s">
        <v>61</v>
      </c>
      <c r="H103" s="32">
        <v>13</v>
      </c>
      <c r="I103" s="23">
        <f>H103*25</f>
        <v>325</v>
      </c>
      <c r="J103" s="35">
        <f t="shared" si="14"/>
        <v>377</v>
      </c>
      <c r="M103" s="44"/>
    </row>
    <row r="104" spans="2:13" ht="15.75" x14ac:dyDescent="0.25">
      <c r="B104" s="16">
        <v>96</v>
      </c>
      <c r="C104" s="31" t="s">
        <v>65</v>
      </c>
      <c r="D104" s="30" t="s">
        <v>30</v>
      </c>
      <c r="E104" s="19" t="s">
        <v>1</v>
      </c>
      <c r="F104" s="22" t="s">
        <v>60</v>
      </c>
      <c r="G104" s="22" t="s">
        <v>61</v>
      </c>
      <c r="H104" s="32">
        <v>13</v>
      </c>
      <c r="I104" s="23">
        <f t="shared" ref="I104:I105" si="16">H104*25</f>
        <v>325</v>
      </c>
      <c r="J104" s="35">
        <f t="shared" si="14"/>
        <v>377</v>
      </c>
      <c r="M104" s="44"/>
    </row>
    <row r="105" spans="2:13" ht="15.75" x14ac:dyDescent="0.25">
      <c r="B105" s="16">
        <v>97</v>
      </c>
      <c r="C105" s="31" t="s">
        <v>66</v>
      </c>
      <c r="D105" s="30" t="s">
        <v>30</v>
      </c>
      <c r="E105" s="19" t="s">
        <v>2</v>
      </c>
      <c r="F105" s="22" t="s">
        <v>60</v>
      </c>
      <c r="G105" s="22" t="s">
        <v>61</v>
      </c>
      <c r="H105" s="32">
        <v>13</v>
      </c>
      <c r="I105" s="23">
        <f t="shared" si="16"/>
        <v>325</v>
      </c>
      <c r="J105" s="35">
        <f t="shared" si="14"/>
        <v>377</v>
      </c>
      <c r="M105" s="44"/>
    </row>
    <row r="106" spans="2:13" ht="15.75" hidden="1" x14ac:dyDescent="0.25">
      <c r="B106" s="16">
        <v>98</v>
      </c>
      <c r="C106" s="31" t="s">
        <v>68</v>
      </c>
      <c r="D106" s="30" t="s">
        <v>30</v>
      </c>
      <c r="E106" s="19" t="s">
        <v>0</v>
      </c>
      <c r="F106" s="22" t="s">
        <v>71</v>
      </c>
      <c r="G106" s="22" t="s">
        <v>72</v>
      </c>
      <c r="H106" s="32">
        <v>13</v>
      </c>
      <c r="I106" s="23">
        <f>H106*20</f>
        <v>260</v>
      </c>
      <c r="J106" s="35">
        <f t="shared" ref="J106:J108" si="17">I106*1.16</f>
        <v>301.59999999999997</v>
      </c>
      <c r="M106" s="44"/>
    </row>
    <row r="107" spans="2:13" ht="15.75" hidden="1" x14ac:dyDescent="0.25">
      <c r="B107" s="16">
        <v>99</v>
      </c>
      <c r="C107" s="31" t="s">
        <v>69</v>
      </c>
      <c r="D107" s="30" t="s">
        <v>30</v>
      </c>
      <c r="E107" s="19" t="s">
        <v>1</v>
      </c>
      <c r="F107" s="22" t="s">
        <v>71</v>
      </c>
      <c r="G107" s="22" t="s">
        <v>72</v>
      </c>
      <c r="H107" s="32">
        <v>13</v>
      </c>
      <c r="I107" s="23">
        <f t="shared" ref="I107:I108" si="18">H107*20</f>
        <v>260</v>
      </c>
      <c r="J107" s="35">
        <f t="shared" si="17"/>
        <v>301.59999999999997</v>
      </c>
      <c r="M107" s="44"/>
    </row>
    <row r="108" spans="2:13" ht="15.75" x14ac:dyDescent="0.25">
      <c r="B108" s="16">
        <v>100</v>
      </c>
      <c r="C108" s="50" t="s">
        <v>68</v>
      </c>
      <c r="D108" s="51" t="s">
        <v>30</v>
      </c>
      <c r="E108" s="19" t="s">
        <v>0</v>
      </c>
      <c r="F108" s="52" t="s">
        <v>71</v>
      </c>
      <c r="G108" s="52" t="s">
        <v>72</v>
      </c>
      <c r="H108" s="32">
        <v>13</v>
      </c>
      <c r="I108" s="53">
        <f t="shared" si="18"/>
        <v>260</v>
      </c>
      <c r="J108" s="35">
        <f t="shared" si="17"/>
        <v>301.59999999999997</v>
      </c>
      <c r="M108" s="44"/>
    </row>
    <row r="109" spans="2:13" ht="15.75" x14ac:dyDescent="0.25">
      <c r="B109" s="16">
        <v>101</v>
      </c>
      <c r="C109" s="50" t="s">
        <v>69</v>
      </c>
      <c r="D109" s="51" t="s">
        <v>30</v>
      </c>
      <c r="E109" s="19" t="s">
        <v>1</v>
      </c>
      <c r="F109" s="52" t="s">
        <v>71</v>
      </c>
      <c r="G109" s="52" t="s">
        <v>72</v>
      </c>
      <c r="H109" s="32">
        <v>13</v>
      </c>
      <c r="I109" s="53">
        <f t="shared" ref="I109:I110" si="19">H109*20</f>
        <v>260</v>
      </c>
      <c r="J109" s="35">
        <f t="shared" ref="J109:J110" si="20">I109*1.16</f>
        <v>301.59999999999997</v>
      </c>
      <c r="M109" s="44"/>
    </row>
    <row r="110" spans="2:13" ht="15.75" x14ac:dyDescent="0.25">
      <c r="B110" s="16">
        <v>102</v>
      </c>
      <c r="C110" s="50" t="s">
        <v>70</v>
      </c>
      <c r="D110" s="51" t="s">
        <v>30</v>
      </c>
      <c r="E110" s="19" t="s">
        <v>2</v>
      </c>
      <c r="F110" s="52" t="s">
        <v>71</v>
      </c>
      <c r="G110" s="52" t="s">
        <v>72</v>
      </c>
      <c r="H110" s="32">
        <v>13</v>
      </c>
      <c r="I110" s="53">
        <f t="shared" si="19"/>
        <v>260</v>
      </c>
      <c r="J110" s="35">
        <f t="shared" si="20"/>
        <v>301.59999999999997</v>
      </c>
      <c r="M110" s="44"/>
    </row>
    <row r="111" spans="2:13" ht="16.5" thickBot="1" x14ac:dyDescent="0.3">
      <c r="B111" s="11"/>
      <c r="C111" s="27"/>
      <c r="D111" s="9"/>
      <c r="E111" s="19"/>
      <c r="F111" s="41"/>
      <c r="G111" s="22"/>
      <c r="H111" s="42"/>
      <c r="I111" s="23"/>
      <c r="J111" s="43"/>
    </row>
    <row r="112" spans="2:13" ht="15.75" thickBot="1" x14ac:dyDescent="0.3">
      <c r="B112" s="2"/>
      <c r="C112" s="1"/>
      <c r="D112" s="1"/>
      <c r="E112" s="3"/>
      <c r="F112" s="15"/>
      <c r="G112" s="15"/>
      <c r="H112" s="13"/>
      <c r="I112" s="13"/>
      <c r="J112" s="13"/>
    </row>
  </sheetData>
  <mergeCells count="1">
    <mergeCell ref="B7:J7"/>
  </mergeCells>
  <phoneticPr fontId="7" type="noConversion"/>
  <pageMargins left="0.11811023622047245" right="0" top="0.15748031496062992" bottom="0.15748031496062992" header="0.31496062992125984" footer="0.31496062992125984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Selling Prices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Server</cp:lastModifiedBy>
  <cp:lastPrinted>2024-05-20T07:09:52Z</cp:lastPrinted>
  <dcterms:created xsi:type="dcterms:W3CDTF">2020-08-11T07:50:46Z</dcterms:created>
  <dcterms:modified xsi:type="dcterms:W3CDTF">2024-05-20T07:10:31Z</dcterms:modified>
</cp:coreProperties>
</file>